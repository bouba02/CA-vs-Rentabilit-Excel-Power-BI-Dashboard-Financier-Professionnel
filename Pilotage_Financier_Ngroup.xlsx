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bouba/Documents/NGROUP AGENCY/DATA ANALYST &amp; DATA SCIENCE/03 - FINANCE PERSONAL MBA/THEME 01- CA vs Rentabilité/"/>
    </mc:Choice>
  </mc:AlternateContent>
  <xr:revisionPtr revIDLastSave="0" documentId="13_ncr:1_{FD77946D-8EEE-6440-AEF5-2724FEBDB654}" xr6:coauthVersionLast="47" xr6:coauthVersionMax="47" xr10:uidLastSave="{00000000-0000-0000-0000-000000000000}"/>
  <bookViews>
    <workbookView xWindow="0" yWindow="660" windowWidth="26800" windowHeight="14600" tabRatio="500" xr2:uid="{00000000-000D-0000-FFFF-FFFF00000000}"/>
  </bookViews>
  <sheets>
    <sheet name="Parametres" sheetId="1" r:id="rId1"/>
    <sheet name="Ventes" sheetId="2" r:id="rId2"/>
    <sheet name="Depenses" sheetId="3" r:id="rId3"/>
    <sheet name="Cash_Flow" sheetId="4" r:id="rId4"/>
    <sheet name="Dashboard_Excel" sheetId="5" r:id="rId5"/>
  </sheets>
  <definedNames>
    <definedName name="_xlnm._FilterDatabase" localSheetId="2" hidden="1">Depenses!$A$1:$I$108</definedName>
    <definedName name="_xlnm._FilterDatabase" localSheetId="1" hidden="1">Ventes!$A$1:$L$127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5" l="1"/>
  <c r="C7" i="5"/>
  <c r="C6" i="5"/>
  <c r="B6" i="5"/>
  <c r="C5" i="5"/>
  <c r="B5" i="5"/>
  <c r="C4" i="5"/>
  <c r="G127" i="2"/>
  <c r="G126" i="2"/>
  <c r="G125" i="2"/>
  <c r="H125" i="2" s="1"/>
  <c r="I125" i="2" s="1"/>
  <c r="G124" i="2"/>
  <c r="G123" i="2"/>
  <c r="G122" i="2"/>
  <c r="G121" i="2"/>
  <c r="H121" i="2" s="1"/>
  <c r="I121" i="2" s="1"/>
  <c r="G120" i="2"/>
  <c r="G119" i="2"/>
  <c r="G118" i="2"/>
  <c r="G117" i="2"/>
  <c r="H117" i="2" s="1"/>
  <c r="I117" i="2" s="1"/>
  <c r="G116" i="2"/>
  <c r="G115" i="2"/>
  <c r="G114" i="2"/>
  <c r="G113" i="2"/>
  <c r="H113" i="2" s="1"/>
  <c r="I113" i="2" s="1"/>
  <c r="G112" i="2"/>
  <c r="G111" i="2"/>
  <c r="G110" i="2"/>
  <c r="G109" i="2"/>
  <c r="H109" i="2" s="1"/>
  <c r="I109" i="2" s="1"/>
  <c r="G108" i="2"/>
  <c r="G107" i="2"/>
  <c r="G106" i="2"/>
  <c r="H105" i="2"/>
  <c r="I105" i="2" s="1"/>
  <c r="G105" i="2"/>
  <c r="G104" i="2"/>
  <c r="G103" i="2"/>
  <c r="G102" i="2"/>
  <c r="B4" i="5" s="1"/>
  <c r="G101" i="2"/>
  <c r="H101" i="2" s="1"/>
  <c r="I101" i="2" s="1"/>
  <c r="G100" i="2"/>
  <c r="G99" i="2"/>
  <c r="G98" i="2"/>
  <c r="G97" i="2"/>
  <c r="H97" i="2" s="1"/>
  <c r="I97" i="2" s="1"/>
  <c r="G96" i="2"/>
  <c r="G95" i="2"/>
  <c r="G94" i="2"/>
  <c r="G93" i="2"/>
  <c r="H93" i="2" s="1"/>
  <c r="I93" i="2" s="1"/>
  <c r="G92" i="2"/>
  <c r="G91" i="2"/>
  <c r="G90" i="2"/>
  <c r="G89" i="2"/>
  <c r="H89" i="2" s="1"/>
  <c r="I89" i="2" s="1"/>
  <c r="G88" i="2"/>
  <c r="G87" i="2"/>
  <c r="G86" i="2"/>
  <c r="G85" i="2"/>
  <c r="H85" i="2" s="1"/>
  <c r="I85" i="2" s="1"/>
  <c r="G84" i="2"/>
  <c r="G83" i="2"/>
  <c r="G82" i="2"/>
  <c r="G81" i="2"/>
  <c r="H81" i="2" s="1"/>
  <c r="I81" i="2" s="1"/>
  <c r="G80" i="2"/>
  <c r="G79" i="2"/>
  <c r="G78" i="2"/>
  <c r="G77" i="2"/>
  <c r="H77" i="2" s="1"/>
  <c r="I77" i="2" s="1"/>
  <c r="G76" i="2"/>
  <c r="G75" i="2"/>
  <c r="G74" i="2"/>
  <c r="G73" i="2"/>
  <c r="H73" i="2" s="1"/>
  <c r="I73" i="2" s="1"/>
  <c r="G72" i="2"/>
  <c r="G71" i="2"/>
  <c r="G70" i="2"/>
  <c r="G69" i="2"/>
  <c r="H69" i="2" s="1"/>
  <c r="I69" i="2" s="1"/>
  <c r="G68" i="2"/>
  <c r="G67" i="2"/>
  <c r="G66" i="2"/>
  <c r="G65" i="2"/>
  <c r="H65" i="2" s="1"/>
  <c r="I65" i="2" s="1"/>
  <c r="G64" i="2"/>
  <c r="G63" i="2"/>
  <c r="G62" i="2"/>
  <c r="G61" i="2"/>
  <c r="H61" i="2" s="1"/>
  <c r="I61" i="2" s="1"/>
  <c r="G60" i="2"/>
  <c r="G59" i="2"/>
  <c r="G58" i="2"/>
  <c r="H57" i="2"/>
  <c r="I57" i="2" s="1"/>
  <c r="G57" i="2"/>
  <c r="G56" i="2"/>
  <c r="G55" i="2"/>
  <c r="G54" i="2"/>
  <c r="G53" i="2"/>
  <c r="H53" i="2" s="1"/>
  <c r="I53" i="2" s="1"/>
  <c r="G52" i="2"/>
  <c r="G51" i="2"/>
  <c r="G50" i="2"/>
  <c r="G49" i="2"/>
  <c r="H49" i="2" s="1"/>
  <c r="I49" i="2" s="1"/>
  <c r="G48" i="2"/>
  <c r="G47" i="2"/>
  <c r="G46" i="2"/>
  <c r="G45" i="2"/>
  <c r="H45" i="2" s="1"/>
  <c r="I45" i="2" s="1"/>
  <c r="G44" i="2"/>
  <c r="G43" i="2"/>
  <c r="G42" i="2"/>
  <c r="G41" i="2"/>
  <c r="H41" i="2" s="1"/>
  <c r="I41" i="2" s="1"/>
  <c r="G40" i="2"/>
  <c r="G39" i="2"/>
  <c r="G38" i="2"/>
  <c r="G37" i="2"/>
  <c r="H37" i="2" s="1"/>
  <c r="I37" i="2" s="1"/>
  <c r="G36" i="2"/>
  <c r="G35" i="2"/>
  <c r="G34" i="2"/>
  <c r="G33" i="2"/>
  <c r="H33" i="2" s="1"/>
  <c r="I33" i="2" s="1"/>
  <c r="G32" i="2"/>
  <c r="G31" i="2"/>
  <c r="G30" i="2"/>
  <c r="G29" i="2"/>
  <c r="H29" i="2" s="1"/>
  <c r="I29" i="2" s="1"/>
  <c r="G28" i="2"/>
  <c r="G27" i="2"/>
  <c r="G26" i="2"/>
  <c r="G25" i="2"/>
  <c r="H25" i="2" s="1"/>
  <c r="I25" i="2" s="1"/>
  <c r="G24" i="2"/>
  <c r="G23" i="2"/>
  <c r="G22" i="2"/>
  <c r="G21" i="2"/>
  <c r="H21" i="2" s="1"/>
  <c r="I21" i="2" s="1"/>
  <c r="G20" i="2"/>
  <c r="G19" i="2"/>
  <c r="G18" i="2"/>
  <c r="G17" i="2"/>
  <c r="H17" i="2" s="1"/>
  <c r="I17" i="2" s="1"/>
  <c r="G16" i="2"/>
  <c r="H16" i="2" s="1"/>
  <c r="G15" i="2"/>
  <c r="G14" i="2"/>
  <c r="G13" i="2"/>
  <c r="H13" i="2" s="1"/>
  <c r="I13" i="2" s="1"/>
  <c r="G12" i="2"/>
  <c r="G11" i="2"/>
  <c r="G10" i="2"/>
  <c r="H9" i="2"/>
  <c r="I9" i="2" s="1"/>
  <c r="G9" i="2"/>
  <c r="G8" i="2"/>
  <c r="G7" i="2"/>
  <c r="G6" i="2"/>
  <c r="G5" i="2"/>
  <c r="H5" i="2" s="1"/>
  <c r="I5" i="2" s="1"/>
  <c r="G4" i="2"/>
  <c r="G3" i="2"/>
  <c r="G2" i="2"/>
  <c r="B7" i="5" l="1"/>
  <c r="B9" i="5"/>
  <c r="B10" i="5" s="1"/>
  <c r="B8" i="5"/>
  <c r="I40" i="2"/>
  <c r="I87" i="2"/>
  <c r="I60" i="2"/>
  <c r="I91" i="2"/>
  <c r="I56" i="2"/>
  <c r="I104" i="2"/>
  <c r="H4" i="2"/>
  <c r="I4" i="2" s="1"/>
  <c r="H8" i="2"/>
  <c r="I8" i="2" s="1"/>
  <c r="H12" i="2"/>
  <c r="I12" i="2" s="1"/>
  <c r="H20" i="2"/>
  <c r="I20" i="2" s="1"/>
  <c r="H24" i="2"/>
  <c r="I24" i="2" s="1"/>
  <c r="H28" i="2"/>
  <c r="I28" i="2" s="1"/>
  <c r="H32" i="2"/>
  <c r="I32" i="2" s="1"/>
  <c r="H36" i="2"/>
  <c r="I36" i="2" s="1"/>
  <c r="H40" i="2"/>
  <c r="H44" i="2"/>
  <c r="I44" i="2" s="1"/>
  <c r="H48" i="2"/>
  <c r="I48" i="2" s="1"/>
  <c r="H52" i="2"/>
  <c r="I52" i="2" s="1"/>
  <c r="H56" i="2"/>
  <c r="H60" i="2"/>
  <c r="H64" i="2"/>
  <c r="I64" i="2" s="1"/>
  <c r="H68" i="2"/>
  <c r="I68" i="2" s="1"/>
  <c r="H72" i="2"/>
  <c r="I72" i="2" s="1"/>
  <c r="H76" i="2"/>
  <c r="I76" i="2" s="1"/>
  <c r="H80" i="2"/>
  <c r="I80" i="2" s="1"/>
  <c r="H84" i="2"/>
  <c r="I84" i="2" s="1"/>
  <c r="H88" i="2"/>
  <c r="I88" i="2" s="1"/>
  <c r="H92" i="2"/>
  <c r="I92" i="2" s="1"/>
  <c r="H96" i="2"/>
  <c r="I96" i="2" s="1"/>
  <c r="H100" i="2"/>
  <c r="I100" i="2" s="1"/>
  <c r="H104" i="2"/>
  <c r="H108" i="2"/>
  <c r="I108" i="2" s="1"/>
  <c r="H112" i="2"/>
  <c r="I112" i="2" s="1"/>
  <c r="H116" i="2"/>
  <c r="I116" i="2" s="1"/>
  <c r="H120" i="2"/>
  <c r="I120" i="2" s="1"/>
  <c r="H124" i="2"/>
  <c r="I124" i="2" s="1"/>
  <c r="I16" i="2"/>
  <c r="H22" i="2"/>
  <c r="I22" i="2" s="1"/>
  <c r="H122" i="2"/>
  <c r="I122" i="2" s="1"/>
  <c r="H126" i="2"/>
  <c r="I126" i="2" s="1"/>
  <c r="H2" i="2"/>
  <c r="I2" i="2" s="1"/>
  <c r="H6" i="2"/>
  <c r="I6" i="2" s="1"/>
  <c r="H10" i="2"/>
  <c r="I10" i="2" s="1"/>
  <c r="H14" i="2"/>
  <c r="I14" i="2" s="1"/>
  <c r="H18" i="2"/>
  <c r="I18" i="2" s="1"/>
  <c r="H26" i="2"/>
  <c r="I26" i="2" s="1"/>
  <c r="H30" i="2"/>
  <c r="I30" i="2" s="1"/>
  <c r="H34" i="2"/>
  <c r="I34" i="2" s="1"/>
  <c r="H38" i="2"/>
  <c r="I38" i="2" s="1"/>
  <c r="H42" i="2"/>
  <c r="I42" i="2" s="1"/>
  <c r="H46" i="2"/>
  <c r="I46" i="2" s="1"/>
  <c r="H50" i="2"/>
  <c r="I50" i="2" s="1"/>
  <c r="H54" i="2"/>
  <c r="I54" i="2" s="1"/>
  <c r="H58" i="2"/>
  <c r="I58" i="2" s="1"/>
  <c r="H62" i="2"/>
  <c r="I62" i="2" s="1"/>
  <c r="H66" i="2"/>
  <c r="I66" i="2" s="1"/>
  <c r="H70" i="2"/>
  <c r="I70" i="2" s="1"/>
  <c r="H74" i="2"/>
  <c r="I74" i="2" s="1"/>
  <c r="H78" i="2"/>
  <c r="I78" i="2" s="1"/>
  <c r="H82" i="2"/>
  <c r="I82" i="2" s="1"/>
  <c r="H86" i="2"/>
  <c r="I86" i="2" s="1"/>
  <c r="H90" i="2"/>
  <c r="I90" i="2" s="1"/>
  <c r="H94" i="2"/>
  <c r="I94" i="2" s="1"/>
  <c r="H98" i="2"/>
  <c r="I98" i="2" s="1"/>
  <c r="H102" i="2"/>
  <c r="I102" i="2" s="1"/>
  <c r="H106" i="2"/>
  <c r="I106" i="2" s="1"/>
  <c r="H110" i="2"/>
  <c r="I110" i="2" s="1"/>
  <c r="H114" i="2"/>
  <c r="I114" i="2" s="1"/>
  <c r="H118" i="2"/>
  <c r="I118" i="2" s="1"/>
  <c r="H3" i="2"/>
  <c r="I3" i="2" s="1"/>
  <c r="H7" i="2"/>
  <c r="I7" i="2" s="1"/>
  <c r="H11" i="2"/>
  <c r="I11" i="2" s="1"/>
  <c r="H15" i="2"/>
  <c r="I15" i="2" s="1"/>
  <c r="H19" i="2"/>
  <c r="I19" i="2" s="1"/>
  <c r="H23" i="2"/>
  <c r="I23" i="2" s="1"/>
  <c r="H27" i="2"/>
  <c r="I27" i="2" s="1"/>
  <c r="H31" i="2"/>
  <c r="I31" i="2" s="1"/>
  <c r="H35" i="2"/>
  <c r="I35" i="2" s="1"/>
  <c r="H39" i="2"/>
  <c r="I39" i="2" s="1"/>
  <c r="H43" i="2"/>
  <c r="I43" i="2" s="1"/>
  <c r="H47" i="2"/>
  <c r="I47" i="2" s="1"/>
  <c r="H51" i="2"/>
  <c r="I51" i="2" s="1"/>
  <c r="H55" i="2"/>
  <c r="I55" i="2" s="1"/>
  <c r="H59" i="2"/>
  <c r="I59" i="2" s="1"/>
  <c r="H63" i="2"/>
  <c r="I63" i="2" s="1"/>
  <c r="H67" i="2"/>
  <c r="I67" i="2" s="1"/>
  <c r="H71" i="2"/>
  <c r="I71" i="2" s="1"/>
  <c r="H75" i="2"/>
  <c r="I75" i="2" s="1"/>
  <c r="H79" i="2"/>
  <c r="I79" i="2" s="1"/>
  <c r="H83" i="2"/>
  <c r="I83" i="2" s="1"/>
  <c r="H87" i="2"/>
  <c r="H91" i="2"/>
  <c r="H95" i="2"/>
  <c r="I95" i="2" s="1"/>
  <c r="H99" i="2"/>
  <c r="I99" i="2" s="1"/>
  <c r="H103" i="2"/>
  <c r="I103" i="2" s="1"/>
  <c r="H107" i="2"/>
  <c r="I107" i="2" s="1"/>
  <c r="H111" i="2"/>
  <c r="I111" i="2" s="1"/>
  <c r="H115" i="2"/>
  <c r="I115" i="2" s="1"/>
  <c r="H119" i="2"/>
  <c r="I119" i="2" s="1"/>
  <c r="H123" i="2"/>
  <c r="I123" i="2" s="1"/>
  <c r="H127" i="2"/>
  <c r="I127" i="2" s="1"/>
</calcChain>
</file>

<file path=xl/sharedStrings.xml><?xml version="1.0" encoding="utf-8"?>
<sst xmlns="http://schemas.openxmlformats.org/spreadsheetml/2006/main" count="1214" uniqueCount="339">
  <si>
    <t>Paramètre</t>
  </si>
  <si>
    <t>Valeur</t>
  </si>
  <si>
    <t>Description</t>
  </si>
  <si>
    <t>Devise</t>
  </si>
  <si>
    <t>MAD</t>
  </si>
  <si>
    <t>Devise d'analyse</t>
  </si>
  <si>
    <t>Année_Analyse</t>
  </si>
  <si>
    <t>2024</t>
  </si>
  <si>
    <t>Année principale</t>
  </si>
  <si>
    <t>Seuil_Alerte_Cash</t>
  </si>
  <si>
    <t>Minimum trésorerie (MAD)</t>
  </si>
  <si>
    <t>TVA_%</t>
  </si>
  <si>
    <t>20%</t>
  </si>
  <si>
    <t>TVA applicable</t>
  </si>
  <si>
    <t>Objectif_CA_Mensuel</t>
  </si>
  <si>
    <t>Objectif CA/mois (MAD)</t>
  </si>
  <si>
    <t>Objectif_Cash_Mensuel</t>
  </si>
  <si>
    <t>Objectif cash/mois (MAD)</t>
  </si>
  <si>
    <t>Date_Facture</t>
  </si>
  <si>
    <t>Invoice_ID</t>
  </si>
  <si>
    <t>Client</t>
  </si>
  <si>
    <t>Produit</t>
  </si>
  <si>
    <t>Quantite</t>
  </si>
  <si>
    <t>Prix_Unitaire</t>
  </si>
  <si>
    <t>Montant_HT</t>
  </si>
  <si>
    <t>TVA</t>
  </si>
  <si>
    <t>Montant_TTC</t>
  </si>
  <si>
    <t>Date_Paiement_Prevue</t>
  </si>
  <si>
    <t>Date_Paiement_Reelle</t>
  </si>
  <si>
    <t>Statut_Paiement</t>
  </si>
  <si>
    <t>INV-001</t>
  </si>
  <si>
    <t>Client E</t>
  </si>
  <si>
    <t>Design Graphique</t>
  </si>
  <si>
    <t>Payé</t>
  </si>
  <si>
    <t>INV-002</t>
  </si>
  <si>
    <t>Client F</t>
  </si>
  <si>
    <t>Shooting Photo</t>
  </si>
  <si>
    <t>INV-003</t>
  </si>
  <si>
    <t>Montage Vidéo</t>
  </si>
  <si>
    <t>Payé (retard)</t>
  </si>
  <si>
    <t>INV-004</t>
  </si>
  <si>
    <t>Client J</t>
  </si>
  <si>
    <t>INV-005</t>
  </si>
  <si>
    <t>Client I</t>
  </si>
  <si>
    <t>INV-006</t>
  </si>
  <si>
    <t>INV-007</t>
  </si>
  <si>
    <t>INV-008</t>
  </si>
  <si>
    <t>Client C</t>
  </si>
  <si>
    <t>INV-009</t>
  </si>
  <si>
    <t>Client D</t>
  </si>
  <si>
    <t>INV-010</t>
  </si>
  <si>
    <t>Client H</t>
  </si>
  <si>
    <t>INV-011</t>
  </si>
  <si>
    <t>INV-012</t>
  </si>
  <si>
    <t>INV-013</t>
  </si>
  <si>
    <t>INV-014</t>
  </si>
  <si>
    <t>Production Événementielle</t>
  </si>
  <si>
    <t>INV-015</t>
  </si>
  <si>
    <t>INV-016</t>
  </si>
  <si>
    <t>INV-017</t>
  </si>
  <si>
    <t>INV-018</t>
  </si>
  <si>
    <t>Client G</t>
  </si>
  <si>
    <t>INV-019</t>
  </si>
  <si>
    <t>INV-020</t>
  </si>
  <si>
    <t>INV-021</t>
  </si>
  <si>
    <t>INV-022</t>
  </si>
  <si>
    <t>INV-023</t>
  </si>
  <si>
    <t>INV-024</t>
  </si>
  <si>
    <t>INV-025</t>
  </si>
  <si>
    <t>Client B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</si>
  <si>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</si>
  <si>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</si>
  <si>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</si>
  <si>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</si>
  <si>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</si>
  <si>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</si>
  <si>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</si>
  <si>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</si>
  <si>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</si>
  <si>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</si>
  <si>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</si>
  <si>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</si>
  <si>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</si>
  <si>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</si>
  <si>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</si>
  <si>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</si>
  <si>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</si>
  <si>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Client A</t>
  </si>
  <si>
    <t>INV-043</t>
  </si>
  <si>
    <t>INV-044</t>
  </si>
  <si>
    <t>INV-045</t>
  </si>
  <si>
    <t>INV-046</t>
  </si>
  <si>
    <t>INV-047</t>
  </si>
  <si>
    <t>INV-048</t>
  </si>
  <si>
    <t>INV-049</t>
  </si>
  <si>
    <t>INV-050</t>
  </si>
  <si>
    <t>INV-051</t>
  </si>
  <si>
    <t>INV-052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</si>
  <si>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</si>
  <si>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</si>
  <si>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</si>
  <si>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</si>
  <si>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</si>
  <si>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</si>
  <si>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</si>
  <si>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</si>
  <si>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</si>
  <si>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</si>
  <si>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</si>
  <si>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</si>
  <si>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</si>
  <si>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INV-066</t>
  </si>
  <si>
    <t>INV-067</t>
  </si>
  <si>
    <t>INV-068</t>
  </si>
  <si>
    <t>INV-069</t>
  </si>
  <si>
    <t>INV-070</t>
  </si>
  <si>
    <t>INV-071</t>
  </si>
  <si>
    <t>INV-072</t>
  </si>
  <si>
    <t>INV-073</t>
  </si>
  <si>
    <t>INV-074</t>
  </si>
  <si>
    <t>INV-075</t>
  </si>
  <si>
    <t>INV-076</t>
  </si>
  <si>
    <t>INV-077</t>
  </si>
  <si>
    <t>INV-078</t>
  </si>
  <si>
    <t>INV-079</t>
  </si>
  <si>
    <t>INV-080</t>
  </si>
  <si>
    <t>INV-081</t>
  </si>
  <si>
    <t>INV-082</t>
  </si>
  <si>
    <t>INV-083</t>
  </si>
  <si>
    <t>INV-084</t>
  </si>
  <si>
    <t>INV-085</t>
  </si>
  <si>
    <t>INV-086</t>
  </si>
  <si>
    <t>INV-087</t>
  </si>
  <si>
    <t>INV-088</t>
  </si>
  <si>
    <t>INV-089</t>
  </si>
  <si>
    <t>INV-090</t>
  </si>
  <si>
    <t>INV-091</t>
  </si>
  <si>
    <t>INV-092</t>
  </si>
  <si>
    <t>INV-093</t>
  </si>
  <si>
    <t>INV-094</t>
  </si>
  <si>
    <t>INV-095</t>
  </si>
  <si>
    <t>INV-096</t>
  </si>
  <si>
    <t>INV-097</t>
  </si>
  <si>
    <t>INV-098</t>
  </si>
  <si>
    <t>INV-099</t>
  </si>
  <si>
    <t>INV-100</t>
  </si>
  <si>
    <t>INV-101</t>
  </si>
  <si>
    <t>INV-102</t>
  </si>
  <si>
    <t>INV-103</t>
  </si>
  <si>
    <t>INV-104</t>
  </si>
  <si>
    <t>INV-105</t>
  </si>
  <si>
    <t>INV-106</t>
  </si>
  <si>
    <t>INV-107</t>
  </si>
  <si>
    <t>INV-108</t>
  </si>
  <si>
    <t>INV-109</t>
  </si>
  <si>
    <t>INV-110</t>
  </si>
  <si>
    <t>INV-111</t>
  </si>
  <si>
    <t>INV-112</t>
  </si>
  <si>
    <t>INV-113</t>
  </si>
  <si>
    <t>INV-114</t>
  </si>
  <si>
    <t>INV-115</t>
  </si>
  <si>
    <t>À venir</t>
  </si>
  <si>
    <t>INV-116</t>
  </si>
  <si>
    <t>INV-117</t>
  </si>
  <si>
    <t>INV-118</t>
  </si>
  <si>
    <t>INV-119</t>
  </si>
  <si>
    <t>INV-120</t>
  </si>
  <si>
    <t>INV-121</t>
  </si>
  <si>
    <t>INV-122</t>
  </si>
  <si>
    <t>INV-123</t>
  </si>
  <si>
    <t>INV-124</t>
  </si>
  <si>
    <t>INV-125</t>
  </si>
  <si>
    <t>INV-126</t>
  </si>
  <si>
    <t>Date_Depense</t>
  </si>
  <si>
    <t>Expense_ID</t>
  </si>
  <si>
    <t>Fournisseur</t>
  </si>
  <si>
    <t>Type_Cout</t>
  </si>
  <si>
    <t>Categorie</t>
  </si>
  <si>
    <t>Montant</t>
  </si>
  <si>
    <t>Date_Paiement</t>
  </si>
  <si>
    <t>EXP-001</t>
  </si>
  <si>
    <t>Propriétaire</t>
  </si>
  <si>
    <t>Fixe</t>
  </si>
  <si>
    <t>Loyer</t>
  </si>
  <si>
    <t>Location studio</t>
  </si>
  <si>
    <t>EXP-002</t>
  </si>
  <si>
    <t>Banque</t>
  </si>
  <si>
    <t>Salaires</t>
  </si>
  <si>
    <t>Salaire équipe</t>
  </si>
  <si>
    <t>EXP-003</t>
  </si>
  <si>
    <t>Assurance Pro</t>
  </si>
  <si>
    <t>Assurance</t>
  </si>
  <si>
    <t>Assurance professionnelle</t>
  </si>
  <si>
    <t>EXP-004</t>
  </si>
  <si>
    <t>Fournisseur Matériel</t>
  </si>
  <si>
    <t>Variable</t>
  </si>
  <si>
    <t>Matériel</t>
  </si>
  <si>
    <t>Achat matériel</t>
  </si>
  <si>
    <t>EXP-005</t>
  </si>
  <si>
    <t>EXP-006</t>
  </si>
  <si>
    <t>EXP-007</t>
  </si>
  <si>
    <t>EXP-008</t>
  </si>
  <si>
    <t>Freelance Monteur</t>
  </si>
  <si>
    <t>Freelances</t>
  </si>
  <si>
    <t>Achat freelances</t>
  </si>
  <si>
    <t>EXP-009</t>
  </si>
  <si>
    <t>EXP-010</t>
  </si>
  <si>
    <t>EXP-011</t>
  </si>
  <si>
    <t>EXP-012</t>
  </si>
  <si>
    <t>EXP-013</t>
  </si>
  <si>
    <t>EXP-014</t>
  </si>
  <si>
    <t>Transport</t>
  </si>
  <si>
    <t>Logistique</t>
  </si>
  <si>
    <t>Achat logistique</t>
  </si>
  <si>
    <t>EXP-015</t>
  </si>
  <si>
    <t>EXP-016</t>
  </si>
  <si>
    <t>EXP-017</t>
  </si>
  <si>
    <t>EXP-018</t>
  </si>
  <si>
    <t>EXP-019</t>
  </si>
  <si>
    <t>EXP-020</t>
  </si>
  <si>
    <t>EXP-021</t>
  </si>
  <si>
    <t>EXP-022</t>
  </si>
  <si>
    <t>Facebook Ads</t>
  </si>
  <si>
    <t>Marketing</t>
  </si>
  <si>
    <t>Achat marketing</t>
  </si>
  <si>
    <t>EXP-023</t>
  </si>
  <si>
    <t>EXP-024</t>
  </si>
  <si>
    <t>EXP-025</t>
  </si>
  <si>
    <t>EXP-026</t>
  </si>
  <si>
    <t>EXP-027</t>
  </si>
  <si>
    <t>EXP-028</t>
  </si>
  <si>
    <t>EXP-029</t>
  </si>
  <si>
    <t>EXP-030</t>
  </si>
  <si>
    <t>EXP-031</t>
  </si>
  <si>
    <t>EXP-032</t>
  </si>
  <si>
    <t>EXP-033</t>
  </si>
  <si>
    <t>EXP-034</t>
  </si>
  <si>
    <t>EXP-035</t>
  </si>
  <si>
    <t>EXP-036</t>
  </si>
  <si>
    <t>EXP-037</t>
  </si>
  <si>
    <t>EXP-038</t>
  </si>
  <si>
    <t>EXP-039</t>
  </si>
  <si>
    <t>EXP-040</t>
  </si>
  <si>
    <t>EXP-041</t>
  </si>
  <si>
    <t>EXP-042</t>
  </si>
  <si>
    <t>EXP-043</t>
  </si>
  <si>
    <t>EXP-044</t>
  </si>
  <si>
    <t>EXP-045</t>
  </si>
  <si>
    <t>EXP-046</t>
  </si>
  <si>
    <t>EXP-047</t>
  </si>
  <si>
    <t>EXP-048</t>
  </si>
  <si>
    <t>EXP-049</t>
  </si>
  <si>
    <t>EXP-050</t>
  </si>
  <si>
    <t>EXP-051</t>
  </si>
  <si>
    <t>EXP-052</t>
  </si>
  <si>
    <t>EXP-053</t>
  </si>
  <si>
    <t>EXP-054</t>
  </si>
  <si>
    <t>EXP-055</t>
  </si>
  <si>
    <t>EXP-056</t>
  </si>
  <si>
    <t>EXP-057</t>
  </si>
  <si>
    <t>EXP-058</t>
  </si>
  <si>
    <t>EXP-059</t>
  </si>
  <si>
    <t>EXP-060</t>
  </si>
  <si>
    <t>EXP-061</t>
  </si>
  <si>
    <t>EXP-062</t>
  </si>
  <si>
    <t>EXP-063</t>
  </si>
  <si>
    <t>EXP-064</t>
  </si>
  <si>
    <t>EXP-065</t>
  </si>
  <si>
    <t>EXP-066</t>
  </si>
  <si>
    <t>EXP-067</t>
  </si>
  <si>
    <t>EXP-068</t>
  </si>
  <si>
    <t>EXP-069</t>
  </si>
  <si>
    <t>EXP-070</t>
  </si>
  <si>
    <t>EXP-071</t>
  </si>
  <si>
    <t>EXP-072</t>
  </si>
  <si>
    <t>EXP-073</t>
  </si>
  <si>
    <t>EXP-074</t>
  </si>
  <si>
    <t>EXP-075</t>
  </si>
  <si>
    <t>EXP-076</t>
  </si>
  <si>
    <t>EXP-077</t>
  </si>
  <si>
    <t>EXP-078</t>
  </si>
  <si>
    <t>EXP-079</t>
  </si>
  <si>
    <t>EXP-080</t>
  </si>
  <si>
    <t>EXP-081</t>
  </si>
  <si>
    <t>EXP-082</t>
  </si>
  <si>
    <t>EXP-083</t>
  </si>
  <si>
    <t>EXP-084</t>
  </si>
  <si>
    <t>EXP-085</t>
  </si>
  <si>
    <t>EXP-086</t>
  </si>
  <si>
    <t>EXP-087</t>
  </si>
  <si>
    <t>EXP-088</t>
  </si>
  <si>
    <t>EXP-089</t>
  </si>
  <si>
    <t>Campagne marketing massive Facebook/Instagram</t>
  </si>
  <si>
    <t>EXP-090</t>
  </si>
  <si>
    <t>EXP-091</t>
  </si>
  <si>
    <t>EXP-092</t>
  </si>
  <si>
    <t>EXP-093</t>
  </si>
  <si>
    <t>EXP-094</t>
  </si>
  <si>
    <t>EXP-095</t>
  </si>
  <si>
    <t>EXP-096</t>
  </si>
  <si>
    <t>EXP-097</t>
  </si>
  <si>
    <t>EXP-098</t>
  </si>
  <si>
    <t>EXP-099</t>
  </si>
  <si>
    <t>EXP-100</t>
  </si>
  <si>
    <t>EXP-101</t>
  </si>
  <si>
    <t>EXP-102</t>
  </si>
  <si>
    <t>EXP-103</t>
  </si>
  <si>
    <t>EXP-104</t>
  </si>
  <si>
    <t>EXP-105</t>
  </si>
  <si>
    <t>EXP-106</t>
  </si>
  <si>
    <t>EXP-107</t>
  </si>
  <si>
    <t>Date</t>
  </si>
  <si>
    <t>CA_Facture</t>
  </si>
  <si>
    <t>Cash_Entrant_Reel</t>
  </si>
  <si>
    <t>Depenses_Facturees</t>
  </si>
  <si>
    <t>Cash_Sortant_Reel</t>
  </si>
  <si>
    <t>Solde_Cash</t>
  </si>
  <si>
    <t>NOTE: Cet onglet sera construit en détail dans le Thème 3</t>
  </si>
  <si>
    <t>DASHBOARD FINANCIER - NGROUP MEDIA &amp; DIGITAL</t>
  </si>
  <si>
    <t>KPI</t>
  </si>
  <si>
    <t>Format</t>
  </si>
  <si>
    <t>CA Total</t>
  </si>
  <si>
    <t>→ Somme de tous les montants HT des ventes</t>
  </si>
  <si>
    <t>Coûts Variables</t>
  </si>
  <si>
    <t>→ Somme des dépenses de type "Variable"</t>
  </si>
  <si>
    <t>Coûts Fixes</t>
  </si>
  <si>
    <t>→ Somme des dépenses de type "Fixe"</t>
  </si>
  <si>
    <t>Marge Brute</t>
  </si>
  <si>
    <t>→ CA - Coûts Variables</t>
  </si>
  <si>
    <t>Marge Brute %</t>
  </si>
  <si>
    <t>→ Marge Brute / CA</t>
  </si>
  <si>
    <t>Bénéfice Net</t>
  </si>
  <si>
    <t>→ Marge Brute - Coûts Fixes</t>
  </si>
  <si>
    <t>Marge Nette %</t>
  </si>
  <si>
    <t>→ Bénéfice Net / CA</t>
  </si>
  <si>
    <t>NOTES:</t>
  </si>
  <si>
    <t>• Les formules utilisent des références directes aux onglets Ventes et Depenses</t>
  </si>
  <si>
    <t>• Les KPIs sont calculés sur l'ensemble de la période (24 mois)</t>
  </si>
  <si>
    <t>• Pour analyse par période, utiliser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</si>
</sst>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1"/>
    </font>
    <font>
      <sz val="11"/>
      <color rgb="FF0000FF"/>
      <name val="Cambria"/>
      <family val="1"/>
      <charset val="1"/>
    </font>
    <font>
      <i/>
      <sz val="11"/>
      <color rgb="FFFF0000"/>
      <name val="Cambria"/>
      <family val="1"/>
      <charset val="1"/>
    </font>
    <font>
      <b/>
      <sz val="14"/>
      <color rgb="FFFFFFFF"/>
      <name val="Cambria"/>
      <family val="1"/>
      <charset val="1"/>
    </font>
    <font>
      <b/>
      <sz val="11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2"/>
        <bgColor rgb="FFE7E6E6"/>
      </patternFill>
    </fill>
    <fill>
      <patternFill patternType="solid">
        <fgColor rgb="FF70AD47"/>
        <bgColor rgb="FF339966"/>
      </patternFill>
    </fill>
    <fill>
      <patternFill patternType="solid">
        <fgColor rgb="FFFF4444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E7E6E6"/>
        <bgColor rgb="FFEEE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0" fontId="2" fillId="0" borderId="0" xfId="0" applyNumberFormat="1" applyFont="1"/>
    <xf numFmtId="0" fontId="0" fillId="3" borderId="0" xfId="0" applyFill="1"/>
    <xf numFmtId="0" fontId="1" fillId="4" borderId="0" xfId="0" applyFont="1" applyFill="1" applyAlignment="1">
      <alignment horizontal="center"/>
    </xf>
    <xf numFmtId="164" fontId="0" fillId="0" borderId="0" xfId="0" applyNumberFormat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0" borderId="0" xfId="0" applyFont="1"/>
    <xf numFmtId="0" fontId="5" fillId="7" borderId="0" xfId="0" applyFont="1" applyFill="1"/>
    <xf numFmtId="0" fontId="5" fillId="0" borderId="0" xfId="0" applyFont="1"/>
    <xf numFmtId="4" fontId="0" fillId="0" borderId="0" xfId="0" applyNumberFormat="1"/>
    <xf numFmtId="10" fontId="0" fillId="0" borderId="0" xfId="0" applyNumberFormat="1"/>
    <xf numFmtId="14" fontId="1" fillId="5" borderId="0" xfId="0" applyNumberFormat="1" applyFont="1" applyFill="1" applyAlignment="1">
      <alignment horizontal="center"/>
    </xf>
    <xf numFmtId="14" fontId="0" fillId="0" borderId="0" xfId="0" applyNumberFormat="1"/>
    <xf numFmtId="14" fontId="1" fillId="4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4444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Normal="100" workbookViewId="0">
      <selection activeCell="B3" sqref="B3"/>
    </sheetView>
  </sheetViews>
  <sheetFormatPr baseColWidth="10" defaultColWidth="8.6640625" defaultRowHeight="15" x14ac:dyDescent="0.2"/>
  <cols>
    <col min="1" max="1" width="25" customWidth="1"/>
    <col min="2" max="2" width="15" customWidth="1"/>
    <col min="3" max="3" width="35" customWidth="1"/>
  </cols>
  <sheetData>
    <row r="1" spans="1:3" ht="15" customHeight="1" x14ac:dyDescent="0.2">
      <c r="A1" s="1" t="s">
        <v>0</v>
      </c>
      <c r="B1" s="1" t="s">
        <v>1</v>
      </c>
      <c r="C1" s="1" t="s">
        <v>2</v>
      </c>
    </row>
    <row r="2" spans="1:3" ht="15" customHeight="1" x14ac:dyDescent="0.2">
      <c r="A2" s="2" t="s">
        <v>3</v>
      </c>
      <c r="B2" s="2" t="s">
        <v>4</v>
      </c>
      <c r="C2" t="s">
        <v>5</v>
      </c>
    </row>
    <row r="3" spans="1:3" ht="15" customHeight="1" x14ac:dyDescent="0.2">
      <c r="A3" s="2" t="s">
        <v>6</v>
      </c>
      <c r="B3" s="2" t="s">
        <v>7</v>
      </c>
      <c r="C3" t="s">
        <v>8</v>
      </c>
    </row>
    <row r="4" spans="1:3" ht="15" customHeight="1" x14ac:dyDescent="0.2">
      <c r="A4" s="2" t="s">
        <v>9</v>
      </c>
      <c r="B4" s="2">
        <v>20000</v>
      </c>
      <c r="C4" t="s">
        <v>10</v>
      </c>
    </row>
    <row r="5" spans="1:3" ht="15" customHeight="1" x14ac:dyDescent="0.2">
      <c r="A5" s="2" t="s">
        <v>11</v>
      </c>
      <c r="B5" s="3" t="s">
        <v>12</v>
      </c>
      <c r="C5" t="s">
        <v>13</v>
      </c>
    </row>
    <row r="6" spans="1:3" ht="15" customHeight="1" x14ac:dyDescent="0.2">
      <c r="A6" s="2" t="s">
        <v>14</v>
      </c>
      <c r="B6" s="2">
        <v>50000</v>
      </c>
      <c r="C6" t="s">
        <v>15</v>
      </c>
    </row>
    <row r="7" spans="1:3" ht="15" customHeight="1" x14ac:dyDescent="0.2">
      <c r="A7" s="2" t="s">
        <v>16</v>
      </c>
      <c r="B7" s="2">
        <v>40000</v>
      </c>
      <c r="C7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7"/>
  <sheetViews>
    <sheetView zoomScale="104" zoomScaleNormal="41" workbookViewId="0"/>
  </sheetViews>
  <sheetFormatPr baseColWidth="10" defaultColWidth="8.6640625" defaultRowHeight="15" x14ac:dyDescent="0.2"/>
  <cols>
    <col min="1" max="1" width="15" style="15" customWidth="1"/>
    <col min="2" max="4" width="15" customWidth="1"/>
    <col min="6" max="6" width="12.1640625" customWidth="1"/>
    <col min="7" max="7" width="11.5" customWidth="1"/>
    <col min="8" max="8" width="10.1640625" style="4" customWidth="1"/>
    <col min="9" max="9" width="12.33203125" customWidth="1"/>
    <col min="10" max="10" width="21" customWidth="1"/>
    <col min="11" max="11" width="20" customWidth="1"/>
    <col min="12" max="12" width="15.1640625" customWidth="1"/>
  </cols>
  <sheetData>
    <row r="1" spans="1:12" ht="15" customHeight="1" x14ac:dyDescent="0.2">
      <c r="A1" s="16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</row>
    <row r="2" spans="1:12" ht="15" customHeight="1" x14ac:dyDescent="0.2">
      <c r="A2" s="15">
        <v>44932</v>
      </c>
      <c r="B2" t="s">
        <v>30</v>
      </c>
      <c r="C2" t="s">
        <v>31</v>
      </c>
      <c r="D2" t="s">
        <v>32</v>
      </c>
      <c r="E2">
        <v>1</v>
      </c>
      <c r="F2">
        <v>4000</v>
      </c>
      <c r="G2">
        <f t="shared" ref="G2:G33" si="0">E2*F2</f>
        <v>4000</v>
      </c>
      <c r="H2" s="4">
        <f>G2*Parametres!B$5</f>
        <v>800</v>
      </c>
      <c r="I2">
        <f t="shared" ref="I2:I33" si="1">G2+H2</f>
        <v>4800</v>
      </c>
      <c r="J2" s="6">
        <v>44958</v>
      </c>
      <c r="K2" s="6">
        <v>44961</v>
      </c>
      <c r="L2" t="s">
        <v>33</v>
      </c>
    </row>
    <row r="3" spans="1:12" ht="15" customHeight="1" x14ac:dyDescent="0.2">
      <c r="A3" s="15">
        <v>44929</v>
      </c>
      <c r="B3" t="s">
        <v>34</v>
      </c>
      <c r="C3" t="s">
        <v>35</v>
      </c>
      <c r="D3" t="s">
        <v>36</v>
      </c>
      <c r="E3">
        <v>2</v>
      </c>
      <c r="F3">
        <v>8000</v>
      </c>
      <c r="G3">
        <f t="shared" si="0"/>
        <v>16000</v>
      </c>
      <c r="H3" s="4">
        <f>G3*Parametres!B$5</f>
        <v>3200</v>
      </c>
      <c r="I3">
        <f t="shared" si="1"/>
        <v>19200</v>
      </c>
      <c r="J3" s="6">
        <v>44951</v>
      </c>
      <c r="K3" s="6">
        <v>44948</v>
      </c>
      <c r="L3" t="s">
        <v>33</v>
      </c>
    </row>
    <row r="4" spans="1:12" ht="15" customHeight="1" x14ac:dyDescent="0.2">
      <c r="A4" s="15">
        <v>44955</v>
      </c>
      <c r="B4" t="s">
        <v>37</v>
      </c>
      <c r="C4" t="s">
        <v>31</v>
      </c>
      <c r="D4" t="s">
        <v>38</v>
      </c>
      <c r="E4">
        <v>1</v>
      </c>
      <c r="F4">
        <v>6000</v>
      </c>
      <c r="G4">
        <f t="shared" si="0"/>
        <v>6000</v>
      </c>
      <c r="H4" s="4">
        <f>G4*Parametres!B$5</f>
        <v>1200</v>
      </c>
      <c r="I4">
        <f t="shared" si="1"/>
        <v>7200</v>
      </c>
      <c r="J4" s="6">
        <v>44970</v>
      </c>
      <c r="K4" s="6">
        <v>44977</v>
      </c>
      <c r="L4" t="s">
        <v>39</v>
      </c>
    </row>
    <row r="5" spans="1:12" ht="15" customHeight="1" x14ac:dyDescent="0.2">
      <c r="A5" s="15">
        <v>44930</v>
      </c>
      <c r="B5" t="s">
        <v>40</v>
      </c>
      <c r="C5" t="s">
        <v>41</v>
      </c>
      <c r="D5" t="s">
        <v>32</v>
      </c>
      <c r="E5">
        <v>1</v>
      </c>
      <c r="F5">
        <v>5000</v>
      </c>
      <c r="G5">
        <f t="shared" si="0"/>
        <v>5000</v>
      </c>
      <c r="H5" s="4">
        <f>G5*Parametres!B$5</f>
        <v>1000</v>
      </c>
      <c r="I5">
        <f t="shared" si="1"/>
        <v>6000</v>
      </c>
      <c r="J5" s="6">
        <v>44955</v>
      </c>
      <c r="K5" s="6">
        <v>44953</v>
      </c>
      <c r="L5" t="s">
        <v>33</v>
      </c>
    </row>
    <row r="6" spans="1:12" ht="15" customHeight="1" x14ac:dyDescent="0.2">
      <c r="A6" s="15">
        <v>44931</v>
      </c>
      <c r="B6" t="s">
        <v>42</v>
      </c>
      <c r="C6" t="s">
        <v>43</v>
      </c>
      <c r="D6" t="s">
        <v>32</v>
      </c>
      <c r="E6">
        <v>2</v>
      </c>
      <c r="F6">
        <v>5000</v>
      </c>
      <c r="G6">
        <f t="shared" si="0"/>
        <v>10000</v>
      </c>
      <c r="H6" s="4">
        <f>G6*Parametres!B$5</f>
        <v>2000</v>
      </c>
      <c r="I6">
        <f t="shared" si="1"/>
        <v>12000</v>
      </c>
      <c r="J6" s="6">
        <v>44959</v>
      </c>
      <c r="K6" s="6">
        <v>44962</v>
      </c>
      <c r="L6" t="s">
        <v>33</v>
      </c>
    </row>
    <row r="7" spans="1:12" ht="15" customHeight="1" x14ac:dyDescent="0.2">
      <c r="A7" s="15">
        <v>44976</v>
      </c>
      <c r="B7" t="s">
        <v>44</v>
      </c>
      <c r="C7" t="s">
        <v>41</v>
      </c>
      <c r="D7" t="s">
        <v>32</v>
      </c>
      <c r="E7">
        <v>2</v>
      </c>
      <c r="F7">
        <v>5000</v>
      </c>
      <c r="G7">
        <f t="shared" si="0"/>
        <v>10000</v>
      </c>
      <c r="H7" s="4">
        <f>G7*Parametres!B$5</f>
        <v>2000</v>
      </c>
      <c r="I7">
        <f t="shared" si="1"/>
        <v>12000</v>
      </c>
      <c r="J7" s="6">
        <v>44992</v>
      </c>
      <c r="K7" s="6">
        <v>44994</v>
      </c>
      <c r="L7" t="s">
        <v>33</v>
      </c>
    </row>
    <row r="8" spans="1:12" ht="15" customHeight="1" x14ac:dyDescent="0.2">
      <c r="A8" s="15">
        <v>44974</v>
      </c>
      <c r="B8" t="s">
        <v>45</v>
      </c>
      <c r="C8" t="s">
        <v>31</v>
      </c>
      <c r="D8" t="s">
        <v>38</v>
      </c>
      <c r="E8">
        <v>2</v>
      </c>
      <c r="F8">
        <v>5000</v>
      </c>
      <c r="G8">
        <f t="shared" si="0"/>
        <v>10000</v>
      </c>
      <c r="H8" s="4">
        <f>G8*Parametres!B$5</f>
        <v>2000</v>
      </c>
      <c r="I8">
        <f t="shared" si="1"/>
        <v>12000</v>
      </c>
      <c r="J8" s="6">
        <v>44996</v>
      </c>
      <c r="K8" s="6">
        <v>45005</v>
      </c>
      <c r="L8" t="s">
        <v>39</v>
      </c>
    </row>
    <row r="9" spans="1:12" ht="15" customHeight="1" x14ac:dyDescent="0.2">
      <c r="A9" s="15">
        <v>44980</v>
      </c>
      <c r="B9" t="s">
        <v>46</v>
      </c>
      <c r="C9" t="s">
        <v>47</v>
      </c>
      <c r="D9" t="s">
        <v>32</v>
      </c>
      <c r="E9">
        <v>2</v>
      </c>
      <c r="F9">
        <v>3000</v>
      </c>
      <c r="G9">
        <f t="shared" si="0"/>
        <v>6000</v>
      </c>
      <c r="H9" s="4">
        <f>G9*Parametres!B$5</f>
        <v>1200</v>
      </c>
      <c r="I9">
        <f t="shared" si="1"/>
        <v>7200</v>
      </c>
      <c r="J9" s="6">
        <v>45001</v>
      </c>
      <c r="K9" s="6">
        <v>44997</v>
      </c>
      <c r="L9" t="s">
        <v>33</v>
      </c>
    </row>
    <row r="10" spans="1:12" ht="15" customHeight="1" x14ac:dyDescent="0.2">
      <c r="A10" s="15">
        <v>44964</v>
      </c>
      <c r="B10" t="s">
        <v>48</v>
      </c>
      <c r="C10" t="s">
        <v>49</v>
      </c>
      <c r="D10" t="s">
        <v>36</v>
      </c>
      <c r="E10">
        <v>2</v>
      </c>
      <c r="F10">
        <v>11000</v>
      </c>
      <c r="G10">
        <f t="shared" si="0"/>
        <v>22000</v>
      </c>
      <c r="H10" s="4">
        <f>G10*Parametres!B$5</f>
        <v>4400</v>
      </c>
      <c r="I10">
        <f t="shared" si="1"/>
        <v>26400</v>
      </c>
      <c r="J10" s="6">
        <v>44993</v>
      </c>
      <c r="K10" s="6">
        <v>44995</v>
      </c>
      <c r="L10" t="s">
        <v>33</v>
      </c>
    </row>
    <row r="11" spans="1:12" ht="15" customHeight="1" x14ac:dyDescent="0.2">
      <c r="A11" s="15">
        <v>44959</v>
      </c>
      <c r="B11" t="s">
        <v>50</v>
      </c>
      <c r="C11" t="s">
        <v>51</v>
      </c>
      <c r="D11" t="s">
        <v>32</v>
      </c>
      <c r="E11">
        <v>2</v>
      </c>
      <c r="F11">
        <v>3000</v>
      </c>
      <c r="G11">
        <f t="shared" si="0"/>
        <v>6000</v>
      </c>
      <c r="H11" s="4">
        <f>G11*Parametres!B$5</f>
        <v>1200</v>
      </c>
      <c r="I11">
        <f t="shared" si="1"/>
        <v>7200</v>
      </c>
      <c r="J11" s="6">
        <v>44986</v>
      </c>
      <c r="K11" s="6">
        <v>44996</v>
      </c>
      <c r="L11" t="s">
        <v>39</v>
      </c>
    </row>
    <row r="12" spans="1:12" ht="15" customHeight="1" x14ac:dyDescent="0.2">
      <c r="A12" s="15">
        <v>45004</v>
      </c>
      <c r="B12" t="s">
        <v>52</v>
      </c>
      <c r="C12" t="s">
        <v>47</v>
      </c>
      <c r="D12" t="s">
        <v>32</v>
      </c>
      <c r="E12">
        <v>3</v>
      </c>
      <c r="F12">
        <v>5000</v>
      </c>
      <c r="G12">
        <f t="shared" si="0"/>
        <v>15000</v>
      </c>
      <c r="H12" s="4">
        <f>G12*Parametres!B$5</f>
        <v>3000</v>
      </c>
      <c r="I12">
        <f t="shared" si="1"/>
        <v>18000</v>
      </c>
      <c r="J12" s="6">
        <v>45026</v>
      </c>
      <c r="K12" s="6">
        <v>45028</v>
      </c>
      <c r="L12" t="s">
        <v>33</v>
      </c>
    </row>
    <row r="13" spans="1:12" ht="15" customHeight="1" x14ac:dyDescent="0.2">
      <c r="A13" s="15">
        <v>45015</v>
      </c>
      <c r="B13" t="s">
        <v>53</v>
      </c>
      <c r="C13" t="s">
        <v>31</v>
      </c>
      <c r="D13" t="s">
        <v>32</v>
      </c>
      <c r="E13">
        <v>1</v>
      </c>
      <c r="F13">
        <v>4000</v>
      </c>
      <c r="G13">
        <f t="shared" si="0"/>
        <v>4000</v>
      </c>
      <c r="H13" s="4">
        <f>G13*Parametres!B$5</f>
        <v>800</v>
      </c>
      <c r="I13">
        <f t="shared" si="1"/>
        <v>4800</v>
      </c>
      <c r="J13" s="6">
        <v>45038</v>
      </c>
      <c r="K13" s="6">
        <v>45047</v>
      </c>
      <c r="L13" t="s">
        <v>39</v>
      </c>
    </row>
    <row r="14" spans="1:12" ht="15" customHeight="1" x14ac:dyDescent="0.2">
      <c r="A14" s="15">
        <v>45015</v>
      </c>
      <c r="B14" t="s">
        <v>54</v>
      </c>
      <c r="C14" t="s">
        <v>35</v>
      </c>
      <c r="D14" t="s">
        <v>36</v>
      </c>
      <c r="E14">
        <v>3</v>
      </c>
      <c r="F14">
        <v>11000</v>
      </c>
      <c r="G14">
        <f t="shared" si="0"/>
        <v>33000</v>
      </c>
      <c r="H14" s="4">
        <f>G14*Parametres!B$5</f>
        <v>6600</v>
      </c>
      <c r="I14">
        <f t="shared" si="1"/>
        <v>39600</v>
      </c>
      <c r="J14" s="6">
        <v>45040</v>
      </c>
      <c r="K14" s="6">
        <v>45038</v>
      </c>
      <c r="L14" t="s">
        <v>33</v>
      </c>
    </row>
    <row r="15" spans="1:12" ht="15" customHeight="1" x14ac:dyDescent="0.2">
      <c r="A15" s="15">
        <v>45002</v>
      </c>
      <c r="B15" t="s">
        <v>55</v>
      </c>
      <c r="C15" t="s">
        <v>35</v>
      </c>
      <c r="D15" t="s">
        <v>56</v>
      </c>
      <c r="E15">
        <v>3</v>
      </c>
      <c r="F15">
        <v>16000</v>
      </c>
      <c r="G15">
        <f t="shared" si="0"/>
        <v>48000</v>
      </c>
      <c r="H15" s="4">
        <f>G15*Parametres!B$5</f>
        <v>9600</v>
      </c>
      <c r="I15">
        <f t="shared" si="1"/>
        <v>57600</v>
      </c>
      <c r="J15" s="6">
        <v>45022</v>
      </c>
      <c r="K15" s="6">
        <v>45017</v>
      </c>
      <c r="L15" t="s">
        <v>33</v>
      </c>
    </row>
    <row r="16" spans="1:12" ht="15" customHeight="1" x14ac:dyDescent="0.2">
      <c r="A16" s="15">
        <v>45014</v>
      </c>
      <c r="B16" t="s">
        <v>57</v>
      </c>
      <c r="C16" t="s">
        <v>43</v>
      </c>
      <c r="D16" t="s">
        <v>56</v>
      </c>
      <c r="E16">
        <v>3</v>
      </c>
      <c r="F16">
        <v>15000</v>
      </c>
      <c r="G16">
        <f t="shared" si="0"/>
        <v>45000</v>
      </c>
      <c r="H16" s="4">
        <f>G16*Parametres!B$5</f>
        <v>9000</v>
      </c>
      <c r="I16">
        <f t="shared" si="1"/>
        <v>54000</v>
      </c>
      <c r="J16" s="6">
        <v>45035</v>
      </c>
      <c r="K16" s="6">
        <v>45037</v>
      </c>
      <c r="L16" t="s">
        <v>33</v>
      </c>
    </row>
    <row r="17" spans="1:12" ht="15" customHeight="1" x14ac:dyDescent="0.2">
      <c r="A17" s="15">
        <v>45042</v>
      </c>
      <c r="B17" t="s">
        <v>58</v>
      </c>
      <c r="C17" t="s">
        <v>43</v>
      </c>
      <c r="D17" t="s">
        <v>36</v>
      </c>
      <c r="E17">
        <v>3</v>
      </c>
      <c r="F17">
        <v>9000</v>
      </c>
      <c r="G17">
        <f t="shared" si="0"/>
        <v>27000</v>
      </c>
      <c r="H17" s="4">
        <f>G17*Parametres!B$5</f>
        <v>5400</v>
      </c>
      <c r="I17">
        <f t="shared" si="1"/>
        <v>32400</v>
      </c>
      <c r="J17" s="6">
        <v>45066</v>
      </c>
      <c r="K17" s="6">
        <v>45069</v>
      </c>
      <c r="L17" t="s">
        <v>33</v>
      </c>
    </row>
    <row r="18" spans="1:12" ht="15" customHeight="1" x14ac:dyDescent="0.2">
      <c r="A18" s="15">
        <v>45020</v>
      </c>
      <c r="B18" t="s">
        <v>59</v>
      </c>
      <c r="C18" t="s">
        <v>49</v>
      </c>
      <c r="D18" t="s">
        <v>56</v>
      </c>
      <c r="E18">
        <v>3</v>
      </c>
      <c r="F18">
        <v>19000</v>
      </c>
      <c r="G18">
        <f t="shared" si="0"/>
        <v>57000</v>
      </c>
      <c r="H18" s="4">
        <f>G18*Parametres!B$5</f>
        <v>11400</v>
      </c>
      <c r="I18">
        <f t="shared" si="1"/>
        <v>68400</v>
      </c>
      <c r="J18" s="6">
        <v>45036</v>
      </c>
      <c r="K18" s="6">
        <v>45033</v>
      </c>
      <c r="L18" t="s">
        <v>33</v>
      </c>
    </row>
    <row r="19" spans="1:12" ht="15" customHeight="1" x14ac:dyDescent="0.2">
      <c r="A19" s="15">
        <v>45034</v>
      </c>
      <c r="B19" t="s">
        <v>60</v>
      </c>
      <c r="C19" t="s">
        <v>61</v>
      </c>
      <c r="D19" t="s">
        <v>36</v>
      </c>
      <c r="E19">
        <v>3</v>
      </c>
      <c r="F19">
        <v>8000</v>
      </c>
      <c r="G19">
        <f t="shared" si="0"/>
        <v>24000</v>
      </c>
      <c r="H19" s="4">
        <f>G19*Parametres!B$5</f>
        <v>4800</v>
      </c>
      <c r="I19">
        <f t="shared" si="1"/>
        <v>28800</v>
      </c>
      <c r="J19" s="6">
        <v>45053</v>
      </c>
      <c r="K19" s="6">
        <v>45050</v>
      </c>
      <c r="L19" t="s">
        <v>33</v>
      </c>
    </row>
    <row r="20" spans="1:12" ht="15" customHeight="1" x14ac:dyDescent="0.2">
      <c r="A20" s="15">
        <v>45018</v>
      </c>
      <c r="B20" t="s">
        <v>62</v>
      </c>
      <c r="C20" t="s">
        <v>49</v>
      </c>
      <c r="D20" t="s">
        <v>56</v>
      </c>
      <c r="E20">
        <v>1</v>
      </c>
      <c r="F20">
        <v>16000</v>
      </c>
      <c r="G20">
        <f t="shared" si="0"/>
        <v>16000</v>
      </c>
      <c r="H20" s="4">
        <f>G20*Parametres!B$5</f>
        <v>3200</v>
      </c>
      <c r="I20">
        <f t="shared" si="1"/>
        <v>19200</v>
      </c>
      <c r="J20" s="6">
        <v>45042</v>
      </c>
      <c r="K20" s="6">
        <v>45038</v>
      </c>
      <c r="L20" t="s">
        <v>33</v>
      </c>
    </row>
    <row r="21" spans="1:12" ht="15" customHeight="1" x14ac:dyDescent="0.2">
      <c r="A21" s="15">
        <v>45068</v>
      </c>
      <c r="B21" t="s">
        <v>63</v>
      </c>
      <c r="C21" t="s">
        <v>61</v>
      </c>
      <c r="D21" t="s">
        <v>36</v>
      </c>
      <c r="E21">
        <v>2</v>
      </c>
      <c r="F21">
        <v>12000</v>
      </c>
      <c r="G21">
        <f t="shared" si="0"/>
        <v>24000</v>
      </c>
      <c r="H21" s="4">
        <f>G21*Parametres!B$5</f>
        <v>4800</v>
      </c>
      <c r="I21">
        <f t="shared" si="1"/>
        <v>28800</v>
      </c>
      <c r="J21" s="6">
        <v>45092</v>
      </c>
      <c r="K21" s="6">
        <v>45087</v>
      </c>
      <c r="L21" t="s">
        <v>33</v>
      </c>
    </row>
    <row r="22" spans="1:12" ht="15" customHeight="1" x14ac:dyDescent="0.2">
      <c r="A22" s="15">
        <v>45060</v>
      </c>
      <c r="B22" t="s">
        <v>64</v>
      </c>
      <c r="C22" t="s">
        <v>49</v>
      </c>
      <c r="D22" t="s">
        <v>32</v>
      </c>
      <c r="E22">
        <v>1</v>
      </c>
      <c r="F22">
        <v>5000</v>
      </c>
      <c r="G22">
        <f t="shared" si="0"/>
        <v>5000</v>
      </c>
      <c r="H22" s="4">
        <f>G22*Parametres!B$5</f>
        <v>1000</v>
      </c>
      <c r="I22">
        <f t="shared" si="1"/>
        <v>6000</v>
      </c>
      <c r="J22" s="6">
        <v>45087</v>
      </c>
      <c r="K22" s="6">
        <v>45096</v>
      </c>
      <c r="L22" t="s">
        <v>39</v>
      </c>
    </row>
    <row r="23" spans="1:12" ht="15" customHeight="1" x14ac:dyDescent="0.2">
      <c r="A23" s="15">
        <v>45070</v>
      </c>
      <c r="B23" t="s">
        <v>65</v>
      </c>
      <c r="C23" t="s">
        <v>61</v>
      </c>
      <c r="D23" t="s">
        <v>56</v>
      </c>
      <c r="E23">
        <v>1</v>
      </c>
      <c r="F23">
        <v>11000</v>
      </c>
      <c r="G23">
        <f t="shared" si="0"/>
        <v>11000</v>
      </c>
      <c r="H23" s="4">
        <f>G23*Parametres!B$5</f>
        <v>2200</v>
      </c>
      <c r="I23">
        <f t="shared" si="1"/>
        <v>13200</v>
      </c>
      <c r="J23" s="6">
        <v>45095</v>
      </c>
      <c r="K23" s="6">
        <v>45101</v>
      </c>
      <c r="L23" t="s">
        <v>39</v>
      </c>
    </row>
    <row r="24" spans="1:12" ht="15" customHeight="1" x14ac:dyDescent="0.2">
      <c r="A24" s="15">
        <v>45063</v>
      </c>
      <c r="B24" t="s">
        <v>66</v>
      </c>
      <c r="C24" t="s">
        <v>51</v>
      </c>
      <c r="D24" t="s">
        <v>32</v>
      </c>
      <c r="E24">
        <v>3</v>
      </c>
      <c r="F24">
        <v>4000</v>
      </c>
      <c r="G24">
        <f t="shared" si="0"/>
        <v>12000</v>
      </c>
      <c r="H24" s="4">
        <f>G24*Parametres!B$5</f>
        <v>2400</v>
      </c>
      <c r="I24">
        <f t="shared" si="1"/>
        <v>14400</v>
      </c>
      <c r="J24" s="6">
        <v>45088</v>
      </c>
      <c r="K24" s="6">
        <v>45090</v>
      </c>
      <c r="L24" t="s">
        <v>33</v>
      </c>
    </row>
    <row r="25" spans="1:12" ht="15" customHeight="1" x14ac:dyDescent="0.2">
      <c r="A25" s="15">
        <v>45058</v>
      </c>
      <c r="B25" t="s">
        <v>67</v>
      </c>
      <c r="C25" t="s">
        <v>35</v>
      </c>
      <c r="D25" t="s">
        <v>56</v>
      </c>
      <c r="E25">
        <v>2</v>
      </c>
      <c r="F25">
        <v>10000</v>
      </c>
      <c r="G25">
        <f t="shared" si="0"/>
        <v>20000</v>
      </c>
      <c r="H25" s="4">
        <f>G25*Parametres!B$5</f>
        <v>4000</v>
      </c>
      <c r="I25">
        <f t="shared" si="1"/>
        <v>24000</v>
      </c>
      <c r="J25" s="6">
        <v>45082</v>
      </c>
      <c r="K25" s="6">
        <v>45088</v>
      </c>
      <c r="L25" t="s">
        <v>39</v>
      </c>
    </row>
    <row r="26" spans="1:12" ht="15" customHeight="1" x14ac:dyDescent="0.2">
      <c r="A26" s="15">
        <v>45056</v>
      </c>
      <c r="B26" t="s">
        <v>68</v>
      </c>
      <c r="C26" t="s">
        <v>69</v>
      </c>
      <c r="D26" t="s">
        <v>36</v>
      </c>
      <c r="E26">
        <v>2</v>
      </c>
      <c r="F26">
        <v>10000</v>
      </c>
      <c r="G26">
        <f t="shared" si="0"/>
        <v>20000</v>
      </c>
      <c r="H26" s="4">
        <f>G26*Parametres!B$5</f>
        <v>4000</v>
      </c>
      <c r="I26">
        <f t="shared" si="1"/>
        <v>24000</v>
      </c>
      <c r="J26" s="6">
        <v>45081</v>
      </c>
      <c r="K26" s="6">
        <v>45077</v>
      </c>
      <c r="L26" t="s">
        <v>33</v>
      </c>
    </row>
    <row r="27" spans="1:12" ht="15" customHeight="1" x14ac:dyDescent="0.2">
      <c r="A27" s="15">
        <v>45098</v>
      </c>
      <c r="B27" t="s">
        <v>70</v>
      </c>
      <c r="C27" t="s">
        <v>35</v>
      </c>
      <c r="D27" t="s">
        <v>32</v>
      </c>
      <c r="E27">
        <v>3</v>
      </c>
      <c r="F27">
        <v>2000</v>
      </c>
      <c r="G27">
        <f t="shared" si="0"/>
        <v>6000</v>
      </c>
      <c r="H27" s="4">
        <f>G27*Parametres!B$5</f>
        <v>1200</v>
      </c>
      <c r="I27">
        <f t="shared" si="1"/>
        <v>7200</v>
      </c>
      <c r="J27" s="6">
        <v>45126</v>
      </c>
      <c r="K27" s="6">
        <v>45122</v>
      </c>
      <c r="L27" t="s">
        <v>33</v>
      </c>
    </row>
    <row r="28" spans="1:12" ht="15" customHeight="1" x14ac:dyDescent="0.2">
      <c r="A28" s="15">
        <v>45092</v>
      </c>
      <c r="B28" t="s">
        <v>71</v>
      </c>
      <c r="C28" t="s">
        <v>61</v>
      </c>
      <c r="D28" t="s">
        <v>56</v>
      </c>
      <c r="E28">
        <v>2</v>
      </c>
      <c r="F28">
        <v>20000</v>
      </c>
      <c r="G28">
        <f t="shared" si="0"/>
        <v>40000</v>
      </c>
      <c r="H28" s="4">
        <f>G28*Parametres!B$5</f>
        <v>8000</v>
      </c>
      <c r="I28">
        <f t="shared" si="1"/>
        <v>48000</v>
      </c>
      <c r="J28" s="6">
        <v>45120</v>
      </c>
      <c r="K28" s="6">
        <v>45115</v>
      </c>
      <c r="L28" t="s">
        <v>33</v>
      </c>
    </row>
    <row r="29" spans="1:12" ht="15" customHeight="1" x14ac:dyDescent="0.2">
      <c r="A29" s="15">
        <v>45086</v>
      </c>
      <c r="B29" t="s">
        <v>72</v>
      </c>
      <c r="C29" t="s">
        <v>47</v>
      </c>
      <c r="D29" t="s">
        <v>56</v>
      </c>
      <c r="E29">
        <v>2</v>
      </c>
      <c r="F29">
        <v>10000</v>
      </c>
      <c r="G29">
        <f t="shared" si="0"/>
        <v>20000</v>
      </c>
      <c r="H29" s="4">
        <f>G29*Parametres!B$5</f>
        <v>4000</v>
      </c>
      <c r="I29">
        <f t="shared" si="1"/>
        <v>24000</v>
      </c>
      <c r="J29" s="6">
        <v>45107</v>
      </c>
      <c r="K29" s="6">
        <v>45103</v>
      </c>
      <c r="L29" t="s">
        <v>33</v>
      </c>
    </row>
    <row r="30" spans="1:12" ht="15" customHeight="1" x14ac:dyDescent="0.2">
      <c r="A30" s="15">
        <v>45096</v>
      </c>
      <c r="B30" t="s">
        <v>73</v>
      </c>
      <c r="C30" t="s">
        <v>41</v>
      </c>
      <c r="D30" t="s">
        <v>36</v>
      </c>
      <c r="E30">
        <v>1</v>
      </c>
      <c r="F30">
        <v>12000</v>
      </c>
      <c r="G30">
        <f t="shared" si="0"/>
        <v>12000</v>
      </c>
      <c r="H30" s="4">
        <f>G30*Parametres!B$5</f>
        <v>2400</v>
      </c>
      <c r="I30">
        <f t="shared" si="1"/>
        <v>14400</v>
      </c>
      <c r="J30" s="6">
        <v>45121</v>
      </c>
      <c r="K30" s="6">
        <v>45123</v>
      </c>
      <c r="L30" t="s">
        <v>33</v>
      </c>
    </row>
    <row r="31" spans="1:12" ht="15" customHeight="1" x14ac:dyDescent="0.2">
      <c r="A31" s="15">
        <v>45084</v>
      </c>
      <c r="B31" t="s">
        <v>74</v>
      </c>
      <c r="C31" t="s">
        <v>31</v>
      </c>
      <c r="D31" t="s">
        <v>36</v>
      </c>
      <c r="E31">
        <v>2</v>
      </c>
      <c r="F31">
        <v>9000</v>
      </c>
      <c r="G31">
        <f t="shared" si="0"/>
        <v>18000</v>
      </c>
      <c r="H31" s="4">
        <f>G31*Parametres!B$5</f>
        <v>3600</v>
      </c>
      <c r="I31">
        <f t="shared" si="1"/>
        <v>21600</v>
      </c>
      <c r="J31" s="6">
        <v>45113</v>
      </c>
      <c r="K31" s="6">
        <v>45113</v>
      </c>
      <c r="L31" t="s">
        <v>33</v>
      </c>
    </row>
    <row r="32" spans="1:12" ht="15" customHeight="1" x14ac:dyDescent="0.2">
      <c r="A32" s="15">
        <v>45110</v>
      </c>
      <c r="B32" t="s">
        <v>75</v>
      </c>
      <c r="C32" t="s">
        <v>49</v>
      </c>
      <c r="D32" t="s">
        <v>56</v>
      </c>
      <c r="E32">
        <v>1</v>
      </c>
      <c r="F32">
        <v>16000</v>
      </c>
      <c r="G32">
        <f t="shared" si="0"/>
        <v>16000</v>
      </c>
      <c r="H32" s="4">
        <f>G32*Parametres!B$5</f>
        <v>3200</v>
      </c>
      <c r="I32">
        <f t="shared" si="1"/>
        <v>19200</v>
      </c>
      <c r="J32" s="6">
        <v>45140</v>
      </c>
      <c r="K32" s="6">
        <v>45136</v>
      </c>
      <c r="L32" t="s">
        <v>33</v>
      </c>
    </row>
    <row r="33" spans="1:12" ht="15" customHeight="1" x14ac:dyDescent="0.2">
      <c r="A33" s="15">
        <v>45122</v>
      </c>
      <c r="B33" t="s">
        <v>76</v>
      </c>
      <c r="C33" t="s">
        <v>49</v>
      </c>
      <c r="D33" t="s">
        <v>32</v>
      </c>
      <c r="E33">
        <v>2</v>
      </c>
      <c r="F33">
        <v>4000</v>
      </c>
      <c r="G33">
        <f t="shared" si="0"/>
        <v>8000</v>
      </c>
      <c r="H33" s="4">
        <f>G33*Parametres!B$5</f>
        <v>1600</v>
      </c>
      <c r="I33">
        <f t="shared" si="1"/>
        <v>9600</v>
      </c>
      <c r="J33" s="6">
        <v>45145</v>
      </c>
      <c r="K33" s="6">
        <v>45151</v>
      </c>
      <c r="L33" t="s">
        <v>39</v>
      </c>
    </row>
    <row r="34" spans="1:12" ht="3" customHeight="1" x14ac:dyDescent="0.2">
      <c r="A34" s="15">
        <v>45129</v>
      </c>
      <c r="B34" t="s">
        <v>77</v>
      </c>
      <c r="C34" t="s">
        <v>43</v>
      </c>
      <c r="D34" t="s">
        <v>36</v>
      </c>
      <c r="E34">
        <v>3</v>
      </c>
      <c r="F34">
        <v>8000</v>
      </c>
      <c r="G34">
        <f t="shared" ref="G34:G65" si="2">E34*F34</f>
        <v>24000</v>
      </c>
      <c r="H34" s="4">
        <f>G34*Parametres!B$5</f>
        <v>4800</v>
      </c>
      <c r="I34">
        <f t="shared" ref="I34:I65" si="3">G34+H34</f>
        <v>28800</v>
      </c>
      <c r="J34" s="6">
        <v>45158</v>
      </c>
      <c r="K34" s="6">
        <v>45168</v>
      </c>
      <c r="L34" t="s">
        <v>39</v>
      </c>
    </row>
    <row r="35" spans="1:12" ht="0.75" customHeight="1" x14ac:dyDescent="0.2">
      <c r="A35" s="15">
        <v>45122</v>
      </c>
      <c r="B35" t="s">
        <v>78</v>
      </c>
      <c r="C35" t="s">
        <v>51</v>
      </c>
      <c r="D35" t="s">
        <v>32</v>
      </c>
      <c r="E35">
        <v>1</v>
      </c>
      <c r="F35">
        <v>4000</v>
      </c>
      <c r="G35">
        <f t="shared" si="2"/>
        <v>4000</v>
      </c>
      <c r="H35" s="4">
        <f>G35*Parametres!B$5</f>
        <v>800</v>
      </c>
      <c r="I35">
        <f t="shared" si="3"/>
        <v>4800</v>
      </c>
      <c r="J35" s="6">
        <v>45152</v>
      </c>
      <c r="K35" s="6">
        <v>45148</v>
      </c>
      <c r="L35" t="s">
        <v>33</v>
      </c>
    </row>
    <row r="36" spans="1:12" ht="0.75" customHeight="1" x14ac:dyDescent="0.2">
      <c r="A36" s="15">
        <v>45123</v>
      </c>
      <c r="B36" t="s">
        <v>79</v>
      </c>
      <c r="C36" t="s">
        <v>69</v>
      </c>
      <c r="D36" t="s">
        <v>38</v>
      </c>
      <c r="E36">
        <v>3</v>
      </c>
      <c r="F36">
        <v>4000</v>
      </c>
      <c r="G36">
        <f t="shared" si="2"/>
        <v>12000</v>
      </c>
      <c r="H36" s="4">
        <f>G36*Parametres!B$5</f>
        <v>2400</v>
      </c>
      <c r="I36">
        <f t="shared" si="3"/>
        <v>14400</v>
      </c>
      <c r="J36" s="6">
        <v>45141</v>
      </c>
      <c r="K36" s="6">
        <v>45138</v>
      </c>
      <c r="L36" t="s">
        <v>33</v>
      </c>
    </row>
    <row r="37" spans="1:12" ht="15" customHeight="1" x14ac:dyDescent="0.2">
      <c r="A37" s="15">
        <v>45128</v>
      </c>
      <c r="B37" t="s">
        <v>80</v>
      </c>
      <c r="C37" t="s">
        <v>31</v>
      </c>
      <c r="D37" t="s">
        <v>36</v>
      </c>
      <c r="E37">
        <v>1</v>
      </c>
      <c r="F37">
        <v>11000</v>
      </c>
      <c r="G37">
        <f t="shared" si="2"/>
        <v>11000</v>
      </c>
      <c r="H37" s="4">
        <f>G37*Parametres!B$5</f>
        <v>2200</v>
      </c>
      <c r="I37">
        <f t="shared" si="3"/>
        <v>13200</v>
      </c>
      <c r="J37" s="6">
        <v>45152</v>
      </c>
      <c r="K37" s="6">
        <v>45155</v>
      </c>
      <c r="L37" t="s">
        <v>33</v>
      </c>
    </row>
    <row r="38" spans="1:12" ht="15" customHeight="1" x14ac:dyDescent="0.2">
      <c r="A38" s="15">
        <v>45162</v>
      </c>
      <c r="B38" t="s">
        <v>81</v>
      </c>
      <c r="C38" t="s">
        <v>69</v>
      </c>
      <c r="D38" t="s">
        <v>56</v>
      </c>
      <c r="E38">
        <v>3</v>
      </c>
      <c r="F38">
        <v>12000</v>
      </c>
      <c r="G38">
        <f t="shared" si="2"/>
        <v>36000</v>
      </c>
      <c r="H38" s="4">
        <f>G38*Parametres!B$5</f>
        <v>7200</v>
      </c>
      <c r="I38">
        <f t="shared" si="3"/>
        <v>43200</v>
      </c>
      <c r="J38" s="6">
        <v>45185</v>
      </c>
      <c r="K38" s="6">
        <v>45185</v>
      </c>
      <c r="L38" t="s">
        <v>33</v>
      </c>
    </row>
    <row r="39" spans="1:12" ht="15" customHeight="1" x14ac:dyDescent="0.2">
      <c r="A39" s="15">
        <v>45150</v>
      </c>
      <c r="B39" t="s">
        <v>82</v>
      </c>
      <c r="C39" t="s">
        <v>41</v>
      </c>
      <c r="D39" t="s">
        <v>38</v>
      </c>
      <c r="E39">
        <v>3</v>
      </c>
      <c r="F39">
        <v>7000</v>
      </c>
      <c r="G39">
        <f t="shared" si="2"/>
        <v>21000</v>
      </c>
      <c r="H39" s="4">
        <f>G39*Parametres!B$5</f>
        <v>4200</v>
      </c>
      <c r="I39">
        <f t="shared" si="3"/>
        <v>25200</v>
      </c>
      <c r="J39" s="6">
        <v>45170</v>
      </c>
      <c r="K39" s="6">
        <v>45168</v>
      </c>
      <c r="L39" t="s">
        <v>33</v>
      </c>
    </row>
    <row r="40" spans="1:12" ht="15" customHeight="1" x14ac:dyDescent="0.2">
      <c r="A40" s="15">
        <v>45159</v>
      </c>
      <c r="B40" t="s">
        <v>83</v>
      </c>
      <c r="C40" t="s">
        <v>69</v>
      </c>
      <c r="D40" t="s">
        <v>32</v>
      </c>
      <c r="E40">
        <v>1</v>
      </c>
      <c r="F40">
        <v>2000</v>
      </c>
      <c r="G40">
        <f t="shared" si="2"/>
        <v>2000</v>
      </c>
      <c r="H40" s="4">
        <f>G40*Parametres!B$5</f>
        <v>400</v>
      </c>
      <c r="I40">
        <f t="shared" si="3"/>
        <v>2400</v>
      </c>
      <c r="J40" s="6">
        <v>45185</v>
      </c>
      <c r="K40" s="6">
        <v>45187</v>
      </c>
      <c r="L40" t="s">
        <v>33</v>
      </c>
    </row>
    <row r="41" spans="1:12" ht="15" customHeight="1" x14ac:dyDescent="0.2">
      <c r="A41" s="15">
        <v>45145</v>
      </c>
      <c r="B41" t="s">
        <v>84</v>
      </c>
      <c r="C41" t="s">
        <v>51</v>
      </c>
      <c r="D41" t="s">
        <v>36</v>
      </c>
      <c r="E41">
        <v>2</v>
      </c>
      <c r="F41">
        <v>12000</v>
      </c>
      <c r="G41">
        <f t="shared" si="2"/>
        <v>24000</v>
      </c>
      <c r="H41" s="4">
        <f>G41*Parametres!B$5</f>
        <v>4800</v>
      </c>
      <c r="I41">
        <f t="shared" si="3"/>
        <v>28800</v>
      </c>
      <c r="J41" s="6">
        <v>45175</v>
      </c>
      <c r="K41" s="6">
        <v>45171</v>
      </c>
      <c r="L41" t="s">
        <v>33</v>
      </c>
    </row>
    <row r="42" spans="1:12" ht="15" customHeight="1" x14ac:dyDescent="0.2">
      <c r="A42" s="15">
        <v>45182</v>
      </c>
      <c r="B42" t="s">
        <v>85</v>
      </c>
      <c r="C42" t="s">
        <v>47</v>
      </c>
      <c r="D42" t="s">
        <v>56</v>
      </c>
      <c r="E42">
        <v>2</v>
      </c>
      <c r="F42">
        <v>12000</v>
      </c>
      <c r="G42">
        <f t="shared" si="2"/>
        <v>24000</v>
      </c>
      <c r="H42" s="4">
        <f>G42*Parametres!B$5</f>
        <v>4800</v>
      </c>
      <c r="I42">
        <f t="shared" si="3"/>
        <v>28800</v>
      </c>
      <c r="J42" s="6">
        <v>45202</v>
      </c>
      <c r="K42" s="6">
        <v>45207</v>
      </c>
      <c r="L42" t="s">
        <v>33</v>
      </c>
    </row>
    <row r="43" spans="1:12" ht="15" customHeight="1" x14ac:dyDescent="0.2">
      <c r="A43" s="15">
        <v>45175</v>
      </c>
      <c r="B43" t="s">
        <v>86</v>
      </c>
      <c r="C43" t="s">
        <v>87</v>
      </c>
      <c r="D43" t="s">
        <v>32</v>
      </c>
      <c r="E43">
        <v>1</v>
      </c>
      <c r="F43">
        <v>5000</v>
      </c>
      <c r="G43">
        <f t="shared" si="2"/>
        <v>5000</v>
      </c>
      <c r="H43" s="4">
        <f>G43*Parametres!B$5</f>
        <v>1000</v>
      </c>
      <c r="I43">
        <f t="shared" si="3"/>
        <v>6000</v>
      </c>
      <c r="J43" s="6">
        <v>45204</v>
      </c>
      <c r="K43" s="6">
        <v>45201</v>
      </c>
      <c r="L43" t="s">
        <v>33</v>
      </c>
    </row>
    <row r="44" spans="1:12" ht="15" customHeight="1" x14ac:dyDescent="0.2">
      <c r="A44" s="15">
        <v>45186</v>
      </c>
      <c r="B44" t="s">
        <v>88</v>
      </c>
      <c r="C44" t="s">
        <v>87</v>
      </c>
      <c r="D44" t="s">
        <v>56</v>
      </c>
      <c r="E44">
        <v>2</v>
      </c>
      <c r="F44">
        <v>18000</v>
      </c>
      <c r="G44">
        <f t="shared" si="2"/>
        <v>36000</v>
      </c>
      <c r="H44" s="4">
        <f>G44*Parametres!B$5</f>
        <v>7200</v>
      </c>
      <c r="I44">
        <f t="shared" si="3"/>
        <v>43200</v>
      </c>
      <c r="J44" s="6">
        <v>45206</v>
      </c>
      <c r="K44" s="6">
        <v>45216</v>
      </c>
      <c r="L44" t="s">
        <v>39</v>
      </c>
    </row>
    <row r="45" spans="1:12" ht="15" customHeight="1" x14ac:dyDescent="0.2">
      <c r="A45" s="15">
        <v>45177</v>
      </c>
      <c r="B45" t="s">
        <v>89</v>
      </c>
      <c r="C45" t="s">
        <v>69</v>
      </c>
      <c r="D45" t="s">
        <v>38</v>
      </c>
      <c r="E45">
        <v>1</v>
      </c>
      <c r="F45">
        <v>5000</v>
      </c>
      <c r="G45">
        <f t="shared" si="2"/>
        <v>5000</v>
      </c>
      <c r="H45" s="4">
        <f>G45*Parametres!B$5</f>
        <v>1000</v>
      </c>
      <c r="I45">
        <f t="shared" si="3"/>
        <v>6000</v>
      </c>
      <c r="J45" s="6">
        <v>45198</v>
      </c>
      <c r="K45" s="6">
        <v>45204</v>
      </c>
      <c r="L45" t="s">
        <v>39</v>
      </c>
    </row>
    <row r="46" spans="1:12" ht="15" customHeight="1" x14ac:dyDescent="0.2">
      <c r="A46" s="15">
        <v>45191</v>
      </c>
      <c r="B46" t="s">
        <v>90</v>
      </c>
      <c r="C46" t="s">
        <v>43</v>
      </c>
      <c r="D46" t="s">
        <v>32</v>
      </c>
      <c r="E46">
        <v>2</v>
      </c>
      <c r="F46">
        <v>2000</v>
      </c>
      <c r="G46">
        <f t="shared" si="2"/>
        <v>4000</v>
      </c>
      <c r="H46" s="4">
        <f>G46*Parametres!B$5</f>
        <v>800</v>
      </c>
      <c r="I46">
        <f t="shared" si="3"/>
        <v>4800</v>
      </c>
      <c r="J46" s="6">
        <v>45208</v>
      </c>
      <c r="K46" s="6">
        <v>45209</v>
      </c>
      <c r="L46" t="s">
        <v>33</v>
      </c>
    </row>
    <row r="47" spans="1:12" ht="15" customHeight="1" x14ac:dyDescent="0.2">
      <c r="A47" s="15">
        <v>45179</v>
      </c>
      <c r="B47" t="s">
        <v>91</v>
      </c>
      <c r="C47" t="s">
        <v>31</v>
      </c>
      <c r="D47" t="s">
        <v>56</v>
      </c>
      <c r="E47">
        <v>1</v>
      </c>
      <c r="F47">
        <v>20000</v>
      </c>
      <c r="G47">
        <f t="shared" si="2"/>
        <v>20000</v>
      </c>
      <c r="H47" s="4">
        <f>G47*Parametres!B$5</f>
        <v>4000</v>
      </c>
      <c r="I47">
        <f t="shared" si="3"/>
        <v>24000</v>
      </c>
      <c r="J47" s="6">
        <v>45203</v>
      </c>
      <c r="K47" s="6">
        <v>45213</v>
      </c>
      <c r="L47" t="s">
        <v>39</v>
      </c>
    </row>
    <row r="48" spans="1:12" ht="15" customHeight="1" x14ac:dyDescent="0.2">
      <c r="A48" s="15">
        <v>45200</v>
      </c>
      <c r="B48" t="s">
        <v>92</v>
      </c>
      <c r="C48" t="s">
        <v>61</v>
      </c>
      <c r="D48" t="s">
        <v>36</v>
      </c>
      <c r="E48">
        <v>1</v>
      </c>
      <c r="F48">
        <v>11000</v>
      </c>
      <c r="G48">
        <f t="shared" si="2"/>
        <v>11000</v>
      </c>
      <c r="H48" s="4">
        <f>G48*Parametres!B$5</f>
        <v>2200</v>
      </c>
      <c r="I48">
        <f t="shared" si="3"/>
        <v>13200</v>
      </c>
      <c r="J48" s="6">
        <v>45221</v>
      </c>
      <c r="K48" s="6">
        <v>45225</v>
      </c>
      <c r="L48" t="s">
        <v>33</v>
      </c>
    </row>
    <row r="49" spans="1:12" ht="15" customHeight="1" x14ac:dyDescent="0.2">
      <c r="A49" s="15">
        <v>45223</v>
      </c>
      <c r="B49" t="s">
        <v>93</v>
      </c>
      <c r="C49" t="s">
        <v>47</v>
      </c>
      <c r="D49" t="s">
        <v>32</v>
      </c>
      <c r="E49">
        <v>3</v>
      </c>
      <c r="F49">
        <v>2000</v>
      </c>
      <c r="G49">
        <f t="shared" si="2"/>
        <v>6000</v>
      </c>
      <c r="H49" s="4">
        <f>G49*Parametres!B$5</f>
        <v>1200</v>
      </c>
      <c r="I49">
        <f t="shared" si="3"/>
        <v>7200</v>
      </c>
      <c r="J49" s="6">
        <v>45246</v>
      </c>
      <c r="K49" s="6">
        <v>45241</v>
      </c>
      <c r="L49" t="s">
        <v>33</v>
      </c>
    </row>
    <row r="50" spans="1:12" ht="15" customHeight="1" x14ac:dyDescent="0.2">
      <c r="A50" s="15">
        <v>45210</v>
      </c>
      <c r="B50" t="s">
        <v>94</v>
      </c>
      <c r="C50" t="s">
        <v>43</v>
      </c>
      <c r="D50" t="s">
        <v>36</v>
      </c>
      <c r="E50">
        <v>1</v>
      </c>
      <c r="F50">
        <v>9000</v>
      </c>
      <c r="G50">
        <f t="shared" si="2"/>
        <v>9000</v>
      </c>
      <c r="H50" s="4">
        <f>G50*Parametres!B$5</f>
        <v>1800</v>
      </c>
      <c r="I50">
        <f t="shared" si="3"/>
        <v>10800</v>
      </c>
      <c r="J50" s="6">
        <v>45234</v>
      </c>
      <c r="K50" s="6">
        <v>45240</v>
      </c>
      <c r="L50" t="s">
        <v>39</v>
      </c>
    </row>
    <row r="51" spans="1:12" ht="15" customHeight="1" x14ac:dyDescent="0.2">
      <c r="A51" s="15">
        <v>45214</v>
      </c>
      <c r="B51" t="s">
        <v>95</v>
      </c>
      <c r="C51" t="s">
        <v>41</v>
      </c>
      <c r="D51" t="s">
        <v>38</v>
      </c>
      <c r="E51">
        <v>3</v>
      </c>
      <c r="F51">
        <v>7000</v>
      </c>
      <c r="G51">
        <f t="shared" si="2"/>
        <v>21000</v>
      </c>
      <c r="H51" s="4">
        <f>G51*Parametres!B$5</f>
        <v>4200</v>
      </c>
      <c r="I51">
        <f t="shared" si="3"/>
        <v>25200</v>
      </c>
      <c r="J51" s="6">
        <v>45243</v>
      </c>
      <c r="K51" s="6">
        <v>45246</v>
      </c>
      <c r="L51" t="s">
        <v>33</v>
      </c>
    </row>
    <row r="52" spans="1:12" ht="15" customHeight="1" x14ac:dyDescent="0.2">
      <c r="A52" s="15">
        <v>45201</v>
      </c>
      <c r="B52" t="s">
        <v>96</v>
      </c>
      <c r="C52" t="s">
        <v>35</v>
      </c>
      <c r="D52" t="s">
        <v>38</v>
      </c>
      <c r="E52">
        <v>3</v>
      </c>
      <c r="F52">
        <v>4000</v>
      </c>
      <c r="G52">
        <f t="shared" si="2"/>
        <v>12000</v>
      </c>
      <c r="H52" s="4">
        <f>G52*Parametres!B$5</f>
        <v>2400</v>
      </c>
      <c r="I52">
        <f t="shared" si="3"/>
        <v>14400</v>
      </c>
      <c r="J52" s="6">
        <v>45224</v>
      </c>
      <c r="K52" s="6">
        <v>45231</v>
      </c>
      <c r="L52" t="s">
        <v>39</v>
      </c>
    </row>
    <row r="53" spans="1:12" ht="15" customHeight="1" x14ac:dyDescent="0.2">
      <c r="A53" s="15">
        <v>45198</v>
      </c>
      <c r="B53" t="s">
        <v>97</v>
      </c>
      <c r="C53" t="s">
        <v>35</v>
      </c>
      <c r="D53" t="s">
        <v>38</v>
      </c>
      <c r="E53">
        <v>2</v>
      </c>
      <c r="F53">
        <v>6000</v>
      </c>
      <c r="G53">
        <f t="shared" si="2"/>
        <v>12000</v>
      </c>
      <c r="H53" s="4">
        <f>G53*Parametres!B$5</f>
        <v>2400</v>
      </c>
      <c r="I53">
        <f t="shared" si="3"/>
        <v>14400</v>
      </c>
      <c r="J53" s="6">
        <v>45226</v>
      </c>
      <c r="K53" s="6">
        <v>45223</v>
      </c>
      <c r="L53" t="s">
        <v>33</v>
      </c>
    </row>
    <row r="54" spans="1:12" ht="15" customHeight="1" x14ac:dyDescent="0.2">
      <c r="A54" s="15">
        <v>45238</v>
      </c>
      <c r="B54" t="s">
        <v>98</v>
      </c>
      <c r="C54" t="s">
        <v>49</v>
      </c>
      <c r="D54" t="s">
        <v>38</v>
      </c>
      <c r="E54">
        <v>2</v>
      </c>
      <c r="F54">
        <v>7000</v>
      </c>
      <c r="G54">
        <f t="shared" si="2"/>
        <v>14000</v>
      </c>
      <c r="H54" s="4">
        <f>G54*Parametres!B$5</f>
        <v>2800</v>
      </c>
      <c r="I54">
        <f t="shared" si="3"/>
        <v>16800</v>
      </c>
      <c r="J54" s="6">
        <v>45266</v>
      </c>
      <c r="K54" s="6">
        <v>45269</v>
      </c>
      <c r="L54" t="s">
        <v>33</v>
      </c>
    </row>
    <row r="55" spans="1:12" ht="15" customHeight="1" x14ac:dyDescent="0.2">
      <c r="A55" s="15">
        <v>45255</v>
      </c>
      <c r="B55" t="s">
        <v>99</v>
      </c>
      <c r="C55" t="s">
        <v>43</v>
      </c>
      <c r="D55" t="s">
        <v>56</v>
      </c>
      <c r="E55">
        <v>1</v>
      </c>
      <c r="F55">
        <v>16000</v>
      </c>
      <c r="G55">
        <f t="shared" si="2"/>
        <v>16000</v>
      </c>
      <c r="H55" s="4">
        <f>G55*Parametres!B$5</f>
        <v>3200</v>
      </c>
      <c r="I55">
        <f t="shared" si="3"/>
        <v>19200</v>
      </c>
      <c r="J55" s="6">
        <v>45271</v>
      </c>
      <c r="K55" s="6">
        <v>45278</v>
      </c>
      <c r="L55" t="s">
        <v>39</v>
      </c>
    </row>
    <row r="56" spans="1:12" ht="15" customHeight="1" x14ac:dyDescent="0.2">
      <c r="A56" s="15">
        <v>45228</v>
      </c>
      <c r="B56" t="s">
        <v>100</v>
      </c>
      <c r="C56" t="s">
        <v>43</v>
      </c>
      <c r="D56" t="s">
        <v>32</v>
      </c>
      <c r="E56">
        <v>3</v>
      </c>
      <c r="F56">
        <v>2000</v>
      </c>
      <c r="G56">
        <f t="shared" si="2"/>
        <v>6000</v>
      </c>
      <c r="H56" s="4">
        <f>G56*Parametres!B$5</f>
        <v>1200</v>
      </c>
      <c r="I56">
        <f t="shared" si="3"/>
        <v>7200</v>
      </c>
      <c r="J56" s="6">
        <v>45255</v>
      </c>
      <c r="K56" s="6">
        <v>45253</v>
      </c>
      <c r="L56" t="s">
        <v>33</v>
      </c>
    </row>
    <row r="57" spans="1:12" ht="15" customHeight="1" x14ac:dyDescent="0.2">
      <c r="A57" s="15">
        <v>45240</v>
      </c>
      <c r="B57" t="s">
        <v>101</v>
      </c>
      <c r="C57" t="s">
        <v>43</v>
      </c>
      <c r="D57" t="s">
        <v>32</v>
      </c>
      <c r="E57">
        <v>3</v>
      </c>
      <c r="F57">
        <v>4000</v>
      </c>
      <c r="G57">
        <f t="shared" si="2"/>
        <v>12000</v>
      </c>
      <c r="H57" s="4">
        <f>G57*Parametres!B$5</f>
        <v>2400</v>
      </c>
      <c r="I57">
        <f t="shared" si="3"/>
        <v>14400</v>
      </c>
      <c r="J57" s="6">
        <v>45269</v>
      </c>
      <c r="K57" s="6">
        <v>45276</v>
      </c>
      <c r="L57" t="s">
        <v>39</v>
      </c>
    </row>
    <row r="58" spans="1:12" ht="15" customHeight="1" x14ac:dyDescent="0.2">
      <c r="A58" s="15">
        <v>45258</v>
      </c>
      <c r="B58" t="s">
        <v>102</v>
      </c>
      <c r="C58" t="s">
        <v>35</v>
      </c>
      <c r="D58" t="s">
        <v>32</v>
      </c>
      <c r="E58">
        <v>1</v>
      </c>
      <c r="F58">
        <v>5000</v>
      </c>
      <c r="G58">
        <f t="shared" si="2"/>
        <v>5000</v>
      </c>
      <c r="H58" s="4">
        <f>G58*Parametres!B$5</f>
        <v>1000</v>
      </c>
      <c r="I58">
        <f t="shared" si="3"/>
        <v>6000</v>
      </c>
      <c r="J58" s="6">
        <v>45279</v>
      </c>
      <c r="K58" s="6">
        <v>45276</v>
      </c>
      <c r="L58" t="s">
        <v>33</v>
      </c>
    </row>
    <row r="59" spans="1:12" ht="15" customHeight="1" x14ac:dyDescent="0.2">
      <c r="A59" s="15">
        <v>45259</v>
      </c>
      <c r="B59" t="s">
        <v>103</v>
      </c>
      <c r="C59" t="s">
        <v>51</v>
      </c>
      <c r="D59" t="s">
        <v>32</v>
      </c>
      <c r="E59">
        <v>2</v>
      </c>
      <c r="F59">
        <v>5000</v>
      </c>
      <c r="G59">
        <f t="shared" si="2"/>
        <v>10000</v>
      </c>
      <c r="H59" s="4">
        <f>G59*Parametres!B$5</f>
        <v>2000</v>
      </c>
      <c r="I59">
        <f t="shared" si="3"/>
        <v>12000</v>
      </c>
      <c r="J59" s="6">
        <v>45284</v>
      </c>
      <c r="K59" s="6">
        <v>45290</v>
      </c>
      <c r="L59" t="s">
        <v>39</v>
      </c>
    </row>
    <row r="60" spans="1:12" ht="15" customHeight="1" x14ac:dyDescent="0.2">
      <c r="A60" s="15">
        <v>45271</v>
      </c>
      <c r="B60" t="s">
        <v>104</v>
      </c>
      <c r="C60" t="s">
        <v>51</v>
      </c>
      <c r="D60" t="s">
        <v>36</v>
      </c>
      <c r="E60">
        <v>3</v>
      </c>
      <c r="F60">
        <v>10000</v>
      </c>
      <c r="G60">
        <f t="shared" si="2"/>
        <v>30000</v>
      </c>
      <c r="H60" s="4">
        <f>G60*Parametres!B$5</f>
        <v>6000</v>
      </c>
      <c r="I60">
        <f t="shared" si="3"/>
        <v>36000</v>
      </c>
      <c r="J60" s="6">
        <v>45290</v>
      </c>
      <c r="K60" s="6">
        <v>45299</v>
      </c>
      <c r="L60" t="s">
        <v>39</v>
      </c>
    </row>
    <row r="61" spans="1:12" ht="15" customHeight="1" x14ac:dyDescent="0.2">
      <c r="A61" s="15">
        <v>45259</v>
      </c>
      <c r="B61" t="s">
        <v>105</v>
      </c>
      <c r="C61" t="s">
        <v>43</v>
      </c>
      <c r="D61" t="s">
        <v>38</v>
      </c>
      <c r="E61">
        <v>1</v>
      </c>
      <c r="F61">
        <v>6000</v>
      </c>
      <c r="G61">
        <f t="shared" si="2"/>
        <v>6000</v>
      </c>
      <c r="H61" s="4">
        <f>G61*Parametres!B$5</f>
        <v>1200</v>
      </c>
      <c r="I61">
        <f t="shared" si="3"/>
        <v>7200</v>
      </c>
      <c r="J61" s="6">
        <v>45282</v>
      </c>
      <c r="K61" s="6">
        <v>45277</v>
      </c>
      <c r="L61" t="s">
        <v>33</v>
      </c>
    </row>
    <row r="62" spans="1:12" ht="15" customHeight="1" x14ac:dyDescent="0.2">
      <c r="A62" s="15">
        <v>45279</v>
      </c>
      <c r="B62" t="s">
        <v>106</v>
      </c>
      <c r="C62" t="s">
        <v>35</v>
      </c>
      <c r="D62" t="s">
        <v>56</v>
      </c>
      <c r="E62">
        <v>2</v>
      </c>
      <c r="F62">
        <v>12000</v>
      </c>
      <c r="G62">
        <f t="shared" si="2"/>
        <v>24000</v>
      </c>
      <c r="H62" s="4">
        <f>G62*Parametres!B$5</f>
        <v>4800</v>
      </c>
      <c r="I62">
        <f t="shared" si="3"/>
        <v>28800</v>
      </c>
      <c r="J62" s="6">
        <v>45304</v>
      </c>
      <c r="K62" s="6">
        <v>45309</v>
      </c>
      <c r="L62" t="s">
        <v>33</v>
      </c>
    </row>
    <row r="63" spans="1:12" ht="15" customHeight="1" x14ac:dyDescent="0.2">
      <c r="A63" s="15">
        <v>45293</v>
      </c>
      <c r="B63" t="s">
        <v>107</v>
      </c>
      <c r="C63" t="s">
        <v>41</v>
      </c>
      <c r="D63" t="s">
        <v>36</v>
      </c>
      <c r="E63">
        <v>1</v>
      </c>
      <c r="F63">
        <v>8000</v>
      </c>
      <c r="G63">
        <f t="shared" si="2"/>
        <v>8000</v>
      </c>
      <c r="H63" s="4">
        <f>G63*Parametres!B$5</f>
        <v>1600</v>
      </c>
      <c r="I63">
        <f t="shared" si="3"/>
        <v>9600</v>
      </c>
      <c r="J63" s="6">
        <v>45313</v>
      </c>
      <c r="K63" s="6">
        <v>45313</v>
      </c>
      <c r="L63" t="s">
        <v>33</v>
      </c>
    </row>
    <row r="64" spans="1:12" ht="15" customHeight="1" x14ac:dyDescent="0.2">
      <c r="A64" s="15">
        <v>45301</v>
      </c>
      <c r="B64" t="s">
        <v>108</v>
      </c>
      <c r="C64" t="s">
        <v>47</v>
      </c>
      <c r="D64" t="s">
        <v>38</v>
      </c>
      <c r="E64">
        <v>1</v>
      </c>
      <c r="F64">
        <v>4000</v>
      </c>
      <c r="G64">
        <f t="shared" si="2"/>
        <v>4000</v>
      </c>
      <c r="H64" s="4">
        <f>G64*Parametres!B$5</f>
        <v>800</v>
      </c>
      <c r="I64">
        <f t="shared" si="3"/>
        <v>4800</v>
      </c>
      <c r="J64" s="6">
        <v>45321</v>
      </c>
      <c r="K64" s="6">
        <v>45327</v>
      </c>
      <c r="L64" t="s">
        <v>39</v>
      </c>
    </row>
    <row r="65" spans="1:12" ht="15" customHeight="1" x14ac:dyDescent="0.2">
      <c r="A65" s="15">
        <v>45299</v>
      </c>
      <c r="B65" t="s">
        <v>109</v>
      </c>
      <c r="C65" t="s">
        <v>87</v>
      </c>
      <c r="D65" t="s">
        <v>56</v>
      </c>
      <c r="E65">
        <v>3</v>
      </c>
      <c r="F65">
        <v>18000</v>
      </c>
      <c r="G65">
        <f t="shared" si="2"/>
        <v>54000</v>
      </c>
      <c r="H65" s="4">
        <f>G65*Parametres!B$5</f>
        <v>10800</v>
      </c>
      <c r="I65">
        <f t="shared" si="3"/>
        <v>64800</v>
      </c>
      <c r="J65" s="6">
        <v>45314</v>
      </c>
      <c r="K65" s="6">
        <v>45318</v>
      </c>
      <c r="L65" t="s">
        <v>33</v>
      </c>
    </row>
    <row r="66" spans="1:12" ht="15" customHeight="1" x14ac:dyDescent="0.2">
      <c r="A66" s="15">
        <v>45312</v>
      </c>
      <c r="B66" t="s">
        <v>110</v>
      </c>
      <c r="C66" t="s">
        <v>49</v>
      </c>
      <c r="D66" t="s">
        <v>38</v>
      </c>
      <c r="E66">
        <v>3</v>
      </c>
      <c r="F66">
        <v>5000</v>
      </c>
      <c r="G66">
        <f t="shared" ref="G66:G97" si="4">E66*F66</f>
        <v>15000</v>
      </c>
      <c r="H66" s="4">
        <f>G66*Parametres!B$5</f>
        <v>3000</v>
      </c>
      <c r="I66">
        <f t="shared" ref="I66:I97" si="5">G66+H66</f>
        <v>18000</v>
      </c>
      <c r="J66" s="6">
        <v>45339</v>
      </c>
      <c r="K66" s="6">
        <v>45338</v>
      </c>
      <c r="L66" t="s">
        <v>33</v>
      </c>
    </row>
    <row r="67" spans="1:12" ht="15" customHeight="1" x14ac:dyDescent="0.2">
      <c r="A67" s="15">
        <v>45305</v>
      </c>
      <c r="B67" t="s">
        <v>111</v>
      </c>
      <c r="C67" t="s">
        <v>87</v>
      </c>
      <c r="D67" t="s">
        <v>36</v>
      </c>
      <c r="E67">
        <v>3</v>
      </c>
      <c r="F67">
        <v>8000</v>
      </c>
      <c r="G67">
        <f t="shared" si="4"/>
        <v>24000</v>
      </c>
      <c r="H67" s="4">
        <f>G67*Parametres!B$5</f>
        <v>4800</v>
      </c>
      <c r="I67">
        <f t="shared" si="5"/>
        <v>28800</v>
      </c>
      <c r="J67" s="6">
        <v>45325</v>
      </c>
      <c r="K67" s="6">
        <v>45333</v>
      </c>
      <c r="L67" t="s">
        <v>39</v>
      </c>
    </row>
    <row r="68" spans="1:12" ht="15" customHeight="1" x14ac:dyDescent="0.2">
      <c r="A68" s="15">
        <v>45326</v>
      </c>
      <c r="B68" t="s">
        <v>112</v>
      </c>
      <c r="C68" t="s">
        <v>61</v>
      </c>
      <c r="D68" t="s">
        <v>56</v>
      </c>
      <c r="E68">
        <v>1</v>
      </c>
      <c r="F68">
        <v>12000</v>
      </c>
      <c r="G68">
        <f t="shared" si="4"/>
        <v>12000</v>
      </c>
      <c r="H68" s="4">
        <f>G68*Parametres!B$5</f>
        <v>2400</v>
      </c>
      <c r="I68">
        <f t="shared" si="5"/>
        <v>14400</v>
      </c>
      <c r="J68" s="6">
        <v>45354</v>
      </c>
      <c r="K68" s="6">
        <v>45350</v>
      </c>
      <c r="L68" t="s">
        <v>33</v>
      </c>
    </row>
    <row r="69" spans="1:12" ht="15" customHeight="1" x14ac:dyDescent="0.2">
      <c r="A69" s="15">
        <v>45342</v>
      </c>
      <c r="B69" t="s">
        <v>113</v>
      </c>
      <c r="C69" t="s">
        <v>43</v>
      </c>
      <c r="D69" t="s">
        <v>56</v>
      </c>
      <c r="E69">
        <v>3</v>
      </c>
      <c r="F69">
        <v>13000</v>
      </c>
      <c r="G69">
        <f t="shared" si="4"/>
        <v>39000</v>
      </c>
      <c r="H69" s="4">
        <f>G69*Parametres!B$5</f>
        <v>7800</v>
      </c>
      <c r="I69">
        <f t="shared" si="5"/>
        <v>46800</v>
      </c>
      <c r="J69" s="6">
        <v>45357</v>
      </c>
      <c r="K69" s="6">
        <v>45352</v>
      </c>
      <c r="L69" t="s">
        <v>33</v>
      </c>
    </row>
    <row r="70" spans="1:12" ht="15" customHeight="1" x14ac:dyDescent="0.2">
      <c r="A70" s="15">
        <v>45337</v>
      </c>
      <c r="B70" t="s">
        <v>114</v>
      </c>
      <c r="C70" t="s">
        <v>69</v>
      </c>
      <c r="D70" t="s">
        <v>38</v>
      </c>
      <c r="E70">
        <v>3</v>
      </c>
      <c r="F70">
        <v>5000</v>
      </c>
      <c r="G70">
        <f t="shared" si="4"/>
        <v>15000</v>
      </c>
      <c r="H70" s="4">
        <f>G70*Parametres!B$5</f>
        <v>3000</v>
      </c>
      <c r="I70">
        <f t="shared" si="5"/>
        <v>18000</v>
      </c>
      <c r="J70" s="6">
        <v>45353</v>
      </c>
      <c r="K70" s="6">
        <v>45359</v>
      </c>
      <c r="L70" t="s">
        <v>39</v>
      </c>
    </row>
    <row r="71" spans="1:12" ht="15" customHeight="1" x14ac:dyDescent="0.2">
      <c r="A71" s="15">
        <v>45329</v>
      </c>
      <c r="B71" t="s">
        <v>115</v>
      </c>
      <c r="C71" t="s">
        <v>41</v>
      </c>
      <c r="D71" t="s">
        <v>32</v>
      </c>
      <c r="E71">
        <v>3</v>
      </c>
      <c r="F71">
        <v>4000</v>
      </c>
      <c r="G71">
        <f t="shared" si="4"/>
        <v>12000</v>
      </c>
      <c r="H71" s="4">
        <f>G71*Parametres!B$5</f>
        <v>2400</v>
      </c>
      <c r="I71">
        <f t="shared" si="5"/>
        <v>14400</v>
      </c>
      <c r="J71" s="6">
        <v>45346</v>
      </c>
      <c r="K71" s="6">
        <v>45342</v>
      </c>
      <c r="L71" t="s">
        <v>33</v>
      </c>
    </row>
    <row r="72" spans="1:12" ht="15" customHeight="1" x14ac:dyDescent="0.2">
      <c r="A72" s="15">
        <v>45354</v>
      </c>
      <c r="B72" t="s">
        <v>116</v>
      </c>
      <c r="C72" t="s">
        <v>87</v>
      </c>
      <c r="D72" t="s">
        <v>56</v>
      </c>
      <c r="E72">
        <v>3</v>
      </c>
      <c r="F72">
        <v>11000</v>
      </c>
      <c r="G72">
        <f t="shared" si="4"/>
        <v>33000</v>
      </c>
      <c r="H72" s="4">
        <f>G72*Parametres!B$5</f>
        <v>6600</v>
      </c>
      <c r="I72">
        <f t="shared" si="5"/>
        <v>39600</v>
      </c>
      <c r="J72" s="6">
        <v>45372</v>
      </c>
      <c r="K72" s="6">
        <v>45371</v>
      </c>
      <c r="L72" t="s">
        <v>33</v>
      </c>
    </row>
    <row r="73" spans="1:12" ht="15" customHeight="1" x14ac:dyDescent="0.2">
      <c r="A73" s="15">
        <v>45362</v>
      </c>
      <c r="B73" t="s">
        <v>117</v>
      </c>
      <c r="C73" t="s">
        <v>35</v>
      </c>
      <c r="D73" t="s">
        <v>38</v>
      </c>
      <c r="E73">
        <v>3</v>
      </c>
      <c r="F73">
        <v>7000</v>
      </c>
      <c r="G73">
        <f t="shared" si="4"/>
        <v>21000</v>
      </c>
      <c r="H73" s="4">
        <f>G73*Parametres!B$5</f>
        <v>4200</v>
      </c>
      <c r="I73">
        <f t="shared" si="5"/>
        <v>25200</v>
      </c>
      <c r="J73" s="6">
        <v>45378</v>
      </c>
      <c r="K73" s="6">
        <v>45378</v>
      </c>
      <c r="L73" t="s">
        <v>33</v>
      </c>
    </row>
    <row r="74" spans="1:12" ht="15" customHeight="1" x14ac:dyDescent="0.2">
      <c r="A74" s="15">
        <v>45370</v>
      </c>
      <c r="B74" t="s">
        <v>118</v>
      </c>
      <c r="C74" t="s">
        <v>41</v>
      </c>
      <c r="D74" t="s">
        <v>36</v>
      </c>
      <c r="E74">
        <v>2</v>
      </c>
      <c r="F74">
        <v>11000</v>
      </c>
      <c r="G74">
        <f t="shared" si="4"/>
        <v>22000</v>
      </c>
      <c r="H74" s="4">
        <f>G74*Parametres!B$5</f>
        <v>4400</v>
      </c>
      <c r="I74">
        <f t="shared" si="5"/>
        <v>26400</v>
      </c>
      <c r="J74" s="6">
        <v>45394</v>
      </c>
      <c r="K74" s="6">
        <v>45400</v>
      </c>
      <c r="L74" t="s">
        <v>39</v>
      </c>
    </row>
    <row r="75" spans="1:12" ht="15" customHeight="1" x14ac:dyDescent="0.2">
      <c r="A75" s="15">
        <v>45364</v>
      </c>
      <c r="B75" t="s">
        <v>119</v>
      </c>
      <c r="C75" t="s">
        <v>51</v>
      </c>
      <c r="D75" t="s">
        <v>32</v>
      </c>
      <c r="E75">
        <v>3</v>
      </c>
      <c r="F75">
        <v>5000</v>
      </c>
      <c r="G75">
        <f t="shared" si="4"/>
        <v>15000</v>
      </c>
      <c r="H75" s="4">
        <f>G75*Parametres!B$5</f>
        <v>3000</v>
      </c>
      <c r="I75">
        <f t="shared" si="5"/>
        <v>18000</v>
      </c>
      <c r="J75" s="6">
        <v>45385</v>
      </c>
      <c r="K75" s="6">
        <v>45391</v>
      </c>
      <c r="L75" t="s">
        <v>39</v>
      </c>
    </row>
    <row r="76" spans="1:12" ht="15" customHeight="1" x14ac:dyDescent="0.2">
      <c r="A76" s="15">
        <v>45360</v>
      </c>
      <c r="B76" t="s">
        <v>120</v>
      </c>
      <c r="C76" t="s">
        <v>51</v>
      </c>
      <c r="D76" t="s">
        <v>32</v>
      </c>
      <c r="E76">
        <v>1</v>
      </c>
      <c r="F76">
        <v>2000</v>
      </c>
      <c r="G76">
        <f t="shared" si="4"/>
        <v>2000</v>
      </c>
      <c r="H76" s="4">
        <f>G76*Parametres!B$5</f>
        <v>400</v>
      </c>
      <c r="I76">
        <f t="shared" si="5"/>
        <v>2400</v>
      </c>
      <c r="J76" s="6">
        <v>45375</v>
      </c>
      <c r="K76" s="6">
        <v>45371</v>
      </c>
      <c r="L76" t="s">
        <v>33</v>
      </c>
    </row>
    <row r="77" spans="1:12" ht="15" customHeight="1" x14ac:dyDescent="0.2">
      <c r="A77" s="15">
        <v>45384</v>
      </c>
      <c r="B77" t="s">
        <v>121</v>
      </c>
      <c r="C77" t="s">
        <v>49</v>
      </c>
      <c r="D77" t="s">
        <v>38</v>
      </c>
      <c r="E77">
        <v>2</v>
      </c>
      <c r="F77">
        <v>4000</v>
      </c>
      <c r="G77">
        <f t="shared" si="4"/>
        <v>8000</v>
      </c>
      <c r="H77" s="4">
        <f>G77*Parametres!B$5</f>
        <v>1600</v>
      </c>
      <c r="I77">
        <f t="shared" si="5"/>
        <v>9600</v>
      </c>
      <c r="J77" s="6">
        <v>45404</v>
      </c>
      <c r="K77" s="6">
        <v>45402</v>
      </c>
      <c r="L77" t="s">
        <v>33</v>
      </c>
    </row>
    <row r="78" spans="1:12" ht="15" customHeight="1" x14ac:dyDescent="0.2">
      <c r="A78" s="15">
        <v>45389</v>
      </c>
      <c r="B78" t="s">
        <v>122</v>
      </c>
      <c r="C78" t="s">
        <v>35</v>
      </c>
      <c r="D78" t="s">
        <v>36</v>
      </c>
      <c r="E78">
        <v>3</v>
      </c>
      <c r="F78">
        <v>9000</v>
      </c>
      <c r="G78">
        <f t="shared" si="4"/>
        <v>27000</v>
      </c>
      <c r="H78" s="4">
        <f>G78*Parametres!B$5</f>
        <v>5400</v>
      </c>
      <c r="I78">
        <f t="shared" si="5"/>
        <v>32400</v>
      </c>
      <c r="J78" s="6">
        <v>45414</v>
      </c>
      <c r="K78" s="6">
        <v>45417</v>
      </c>
      <c r="L78" t="s">
        <v>33</v>
      </c>
    </row>
    <row r="79" spans="1:12" ht="15" customHeight="1" x14ac:dyDescent="0.2">
      <c r="A79" s="15">
        <v>45403</v>
      </c>
      <c r="B79" t="s">
        <v>123</v>
      </c>
      <c r="C79" t="s">
        <v>35</v>
      </c>
      <c r="D79" t="s">
        <v>32</v>
      </c>
      <c r="E79">
        <v>3</v>
      </c>
      <c r="F79">
        <v>2000</v>
      </c>
      <c r="G79">
        <f t="shared" si="4"/>
        <v>6000</v>
      </c>
      <c r="H79" s="4">
        <f>G79*Parametres!B$5</f>
        <v>1200</v>
      </c>
      <c r="I79">
        <f t="shared" si="5"/>
        <v>7200</v>
      </c>
      <c r="J79" s="6">
        <v>45421</v>
      </c>
      <c r="K79" s="6">
        <v>45416</v>
      </c>
      <c r="L79" t="s">
        <v>33</v>
      </c>
    </row>
    <row r="80" spans="1:12" ht="15" customHeight="1" x14ac:dyDescent="0.2">
      <c r="A80" s="15">
        <v>45396</v>
      </c>
      <c r="B80" t="s">
        <v>124</v>
      </c>
      <c r="C80" t="s">
        <v>35</v>
      </c>
      <c r="D80" t="s">
        <v>38</v>
      </c>
      <c r="E80">
        <v>1</v>
      </c>
      <c r="F80">
        <v>6000</v>
      </c>
      <c r="G80">
        <f t="shared" si="4"/>
        <v>6000</v>
      </c>
      <c r="H80" s="4">
        <f>G80*Parametres!B$5</f>
        <v>1200</v>
      </c>
      <c r="I80">
        <f t="shared" si="5"/>
        <v>7200</v>
      </c>
      <c r="J80" s="6">
        <v>45420</v>
      </c>
      <c r="K80" s="6">
        <v>45426</v>
      </c>
      <c r="L80" t="s">
        <v>39</v>
      </c>
    </row>
    <row r="81" spans="1:12" ht="15" customHeight="1" x14ac:dyDescent="0.2">
      <c r="A81" s="15">
        <v>45378</v>
      </c>
      <c r="B81" t="s">
        <v>125</v>
      </c>
      <c r="C81" t="s">
        <v>69</v>
      </c>
      <c r="D81" t="s">
        <v>56</v>
      </c>
      <c r="E81">
        <v>1</v>
      </c>
      <c r="F81">
        <v>20000</v>
      </c>
      <c r="G81">
        <f t="shared" si="4"/>
        <v>20000</v>
      </c>
      <c r="H81" s="4">
        <f>G81*Parametres!B$5</f>
        <v>4000</v>
      </c>
      <c r="I81">
        <f t="shared" si="5"/>
        <v>24000</v>
      </c>
      <c r="J81" s="6">
        <v>45406</v>
      </c>
      <c r="K81" s="6">
        <v>45409</v>
      </c>
      <c r="L81" t="s">
        <v>33</v>
      </c>
    </row>
    <row r="82" spans="1:12" ht="15" customHeight="1" x14ac:dyDescent="0.2">
      <c r="A82" s="15">
        <v>45435</v>
      </c>
      <c r="B82" t="s">
        <v>126</v>
      </c>
      <c r="C82" t="s">
        <v>35</v>
      </c>
      <c r="D82" t="s">
        <v>56</v>
      </c>
      <c r="E82">
        <v>2</v>
      </c>
      <c r="F82">
        <v>12000</v>
      </c>
      <c r="G82">
        <f t="shared" si="4"/>
        <v>24000</v>
      </c>
      <c r="H82" s="4">
        <f>G82*Parametres!B$5</f>
        <v>4800</v>
      </c>
      <c r="I82">
        <f t="shared" si="5"/>
        <v>28800</v>
      </c>
      <c r="J82" s="6">
        <v>45456</v>
      </c>
      <c r="K82" s="6">
        <v>45456</v>
      </c>
      <c r="L82" t="s">
        <v>33</v>
      </c>
    </row>
    <row r="83" spans="1:12" ht="15" customHeight="1" x14ac:dyDescent="0.2">
      <c r="A83" s="15">
        <v>45423</v>
      </c>
      <c r="B83" t="s">
        <v>127</v>
      </c>
      <c r="C83" t="s">
        <v>31</v>
      </c>
      <c r="D83" t="s">
        <v>56</v>
      </c>
      <c r="E83">
        <v>1</v>
      </c>
      <c r="F83">
        <v>19000</v>
      </c>
      <c r="G83">
        <f t="shared" si="4"/>
        <v>19000</v>
      </c>
      <c r="H83" s="4">
        <f>G83*Parametres!B$5</f>
        <v>3800</v>
      </c>
      <c r="I83">
        <f t="shared" si="5"/>
        <v>22800</v>
      </c>
      <c r="J83" s="6">
        <v>45443</v>
      </c>
      <c r="K83" s="6">
        <v>45440</v>
      </c>
      <c r="L83" t="s">
        <v>33</v>
      </c>
    </row>
    <row r="84" spans="1:12" ht="15" customHeight="1" x14ac:dyDescent="0.2">
      <c r="A84" s="15">
        <v>45432</v>
      </c>
      <c r="B84" t="s">
        <v>128</v>
      </c>
      <c r="C84" t="s">
        <v>49</v>
      </c>
      <c r="D84" t="s">
        <v>36</v>
      </c>
      <c r="E84">
        <v>3</v>
      </c>
      <c r="F84">
        <v>10000</v>
      </c>
      <c r="G84">
        <f t="shared" si="4"/>
        <v>30000</v>
      </c>
      <c r="H84" s="4">
        <f>G84*Parametres!B$5</f>
        <v>6000</v>
      </c>
      <c r="I84">
        <f t="shared" si="5"/>
        <v>36000</v>
      </c>
      <c r="J84" s="6">
        <v>45458</v>
      </c>
      <c r="K84" s="6">
        <v>45463</v>
      </c>
      <c r="L84" t="s">
        <v>33</v>
      </c>
    </row>
    <row r="85" spans="1:12" ht="15" customHeight="1" x14ac:dyDescent="0.2">
      <c r="A85" s="15">
        <v>45410</v>
      </c>
      <c r="B85" t="s">
        <v>129</v>
      </c>
      <c r="C85" t="s">
        <v>49</v>
      </c>
      <c r="D85" t="s">
        <v>36</v>
      </c>
      <c r="E85">
        <v>2</v>
      </c>
      <c r="F85">
        <v>10000</v>
      </c>
      <c r="G85">
        <f t="shared" si="4"/>
        <v>20000</v>
      </c>
      <c r="H85" s="4">
        <f>G85*Parametres!B$5</f>
        <v>4000</v>
      </c>
      <c r="I85">
        <f t="shared" si="5"/>
        <v>24000</v>
      </c>
      <c r="J85" s="6">
        <v>45434</v>
      </c>
      <c r="K85" s="6">
        <v>45430</v>
      </c>
      <c r="L85" t="s">
        <v>33</v>
      </c>
    </row>
    <row r="86" spans="1:12" ht="15" customHeight="1" x14ac:dyDescent="0.2">
      <c r="A86" s="15">
        <v>45426</v>
      </c>
      <c r="B86" t="s">
        <v>130</v>
      </c>
      <c r="C86" t="s">
        <v>69</v>
      </c>
      <c r="D86" t="s">
        <v>38</v>
      </c>
      <c r="E86">
        <v>1</v>
      </c>
      <c r="F86">
        <v>4000</v>
      </c>
      <c r="G86">
        <f t="shared" si="4"/>
        <v>4000</v>
      </c>
      <c r="H86" s="4">
        <f>G86*Parametres!B$5</f>
        <v>800</v>
      </c>
      <c r="I86">
        <f t="shared" si="5"/>
        <v>4800</v>
      </c>
      <c r="J86" s="6">
        <v>45447</v>
      </c>
      <c r="K86" s="6">
        <v>45448</v>
      </c>
      <c r="L86" t="s">
        <v>33</v>
      </c>
    </row>
    <row r="87" spans="1:12" ht="15" customHeight="1" x14ac:dyDescent="0.2">
      <c r="A87" s="15">
        <v>45422</v>
      </c>
      <c r="B87" t="s">
        <v>131</v>
      </c>
      <c r="C87" t="s">
        <v>51</v>
      </c>
      <c r="D87" t="s">
        <v>32</v>
      </c>
      <c r="E87">
        <v>1</v>
      </c>
      <c r="F87">
        <v>4000</v>
      </c>
      <c r="G87">
        <f t="shared" si="4"/>
        <v>4000</v>
      </c>
      <c r="H87" s="4">
        <f>G87*Parametres!B$5</f>
        <v>800</v>
      </c>
      <c r="I87">
        <f t="shared" si="5"/>
        <v>4800</v>
      </c>
      <c r="J87" s="6">
        <v>45445</v>
      </c>
      <c r="K87" s="6">
        <v>45444</v>
      </c>
      <c r="L87" t="s">
        <v>33</v>
      </c>
    </row>
    <row r="88" spans="1:12" ht="15" customHeight="1" x14ac:dyDescent="0.2">
      <c r="A88" s="15">
        <v>45458</v>
      </c>
      <c r="B88" t="s">
        <v>132</v>
      </c>
      <c r="C88" t="s">
        <v>69</v>
      </c>
      <c r="D88" t="s">
        <v>38</v>
      </c>
      <c r="E88">
        <v>2</v>
      </c>
      <c r="F88">
        <v>5000</v>
      </c>
      <c r="G88">
        <f t="shared" si="4"/>
        <v>10000</v>
      </c>
      <c r="H88" s="4">
        <f>G88*Parametres!B$5</f>
        <v>2000</v>
      </c>
      <c r="I88">
        <f t="shared" si="5"/>
        <v>12000</v>
      </c>
      <c r="J88" s="6">
        <v>45480</v>
      </c>
      <c r="K88" s="6">
        <v>45478</v>
      </c>
      <c r="L88" t="s">
        <v>33</v>
      </c>
    </row>
    <row r="89" spans="1:12" ht="15" customHeight="1" x14ac:dyDescent="0.2">
      <c r="A89" s="15">
        <v>45462</v>
      </c>
      <c r="B89" t="s">
        <v>133</v>
      </c>
      <c r="C89" t="s">
        <v>87</v>
      </c>
      <c r="D89" t="s">
        <v>32</v>
      </c>
      <c r="E89">
        <v>1</v>
      </c>
      <c r="F89">
        <v>4000</v>
      </c>
      <c r="G89">
        <f t="shared" si="4"/>
        <v>4000</v>
      </c>
      <c r="H89" s="4">
        <f>G89*Parametres!B$5</f>
        <v>800</v>
      </c>
      <c r="I89">
        <f t="shared" si="5"/>
        <v>4800</v>
      </c>
      <c r="J89" s="6">
        <v>45482</v>
      </c>
      <c r="K89" s="6">
        <v>45483</v>
      </c>
      <c r="L89" t="s">
        <v>33</v>
      </c>
    </row>
    <row r="90" spans="1:12" ht="15" customHeight="1" x14ac:dyDescent="0.2">
      <c r="A90" s="15">
        <v>45459</v>
      </c>
      <c r="B90" t="s">
        <v>134</v>
      </c>
      <c r="C90" t="s">
        <v>43</v>
      </c>
      <c r="D90" t="s">
        <v>36</v>
      </c>
      <c r="E90">
        <v>1</v>
      </c>
      <c r="F90">
        <v>10000</v>
      </c>
      <c r="G90">
        <f t="shared" si="4"/>
        <v>10000</v>
      </c>
      <c r="H90" s="4">
        <f>G90*Parametres!B$5</f>
        <v>2000</v>
      </c>
      <c r="I90">
        <f t="shared" si="5"/>
        <v>12000</v>
      </c>
      <c r="J90" s="6">
        <v>45485</v>
      </c>
      <c r="K90" s="6">
        <v>45489</v>
      </c>
      <c r="L90" t="s">
        <v>33</v>
      </c>
    </row>
    <row r="91" spans="1:12" ht="15" customHeight="1" x14ac:dyDescent="0.2">
      <c r="A91" s="15">
        <v>45463</v>
      </c>
      <c r="B91" t="s">
        <v>135</v>
      </c>
      <c r="C91" t="s">
        <v>61</v>
      </c>
      <c r="D91" t="s">
        <v>38</v>
      </c>
      <c r="E91">
        <v>2</v>
      </c>
      <c r="F91">
        <v>6000</v>
      </c>
      <c r="G91">
        <f t="shared" si="4"/>
        <v>12000</v>
      </c>
      <c r="H91" s="4">
        <f>G91*Parametres!B$5</f>
        <v>2400</v>
      </c>
      <c r="I91">
        <f t="shared" si="5"/>
        <v>14400</v>
      </c>
      <c r="J91" s="6">
        <v>45491</v>
      </c>
      <c r="K91" s="6">
        <v>45493</v>
      </c>
      <c r="L91" t="s">
        <v>33</v>
      </c>
    </row>
    <row r="92" spans="1:12" ht="15" customHeight="1" x14ac:dyDescent="0.2">
      <c r="A92" s="15">
        <v>45459</v>
      </c>
      <c r="B92" t="s">
        <v>136</v>
      </c>
      <c r="C92" t="s">
        <v>41</v>
      </c>
      <c r="D92" t="s">
        <v>32</v>
      </c>
      <c r="E92">
        <v>1</v>
      </c>
      <c r="F92">
        <v>3000</v>
      </c>
      <c r="G92">
        <f t="shared" si="4"/>
        <v>3000</v>
      </c>
      <c r="H92" s="4">
        <f>G92*Parametres!B$5</f>
        <v>600</v>
      </c>
      <c r="I92">
        <f t="shared" si="5"/>
        <v>3600</v>
      </c>
      <c r="J92" s="6">
        <v>45486</v>
      </c>
      <c r="K92" s="6">
        <v>45489</v>
      </c>
      <c r="L92" t="s">
        <v>33</v>
      </c>
    </row>
    <row r="93" spans="1:12" ht="15" customHeight="1" x14ac:dyDescent="0.2">
      <c r="A93" s="15">
        <v>45456</v>
      </c>
      <c r="B93" t="s">
        <v>137</v>
      </c>
      <c r="C93" t="s">
        <v>43</v>
      </c>
      <c r="D93" t="s">
        <v>56</v>
      </c>
      <c r="E93">
        <v>2</v>
      </c>
      <c r="F93">
        <v>20000</v>
      </c>
      <c r="G93">
        <f t="shared" si="4"/>
        <v>40000</v>
      </c>
      <c r="H93" s="4">
        <f>G93*Parametres!B$5</f>
        <v>8000</v>
      </c>
      <c r="I93">
        <f t="shared" si="5"/>
        <v>48000</v>
      </c>
      <c r="J93" s="6">
        <v>45480</v>
      </c>
      <c r="K93" s="6">
        <v>45489</v>
      </c>
      <c r="L93" t="s">
        <v>39</v>
      </c>
    </row>
    <row r="94" spans="1:12" ht="15" customHeight="1" x14ac:dyDescent="0.2">
      <c r="A94" s="15">
        <v>45473</v>
      </c>
      <c r="B94" t="s">
        <v>138</v>
      </c>
      <c r="C94" t="s">
        <v>31</v>
      </c>
      <c r="D94" t="s">
        <v>56</v>
      </c>
      <c r="E94">
        <v>2</v>
      </c>
      <c r="F94">
        <v>11000</v>
      </c>
      <c r="G94">
        <f t="shared" si="4"/>
        <v>22000</v>
      </c>
      <c r="H94" s="4">
        <f>G94*Parametres!B$5</f>
        <v>4400</v>
      </c>
      <c r="I94">
        <f t="shared" si="5"/>
        <v>26400</v>
      </c>
      <c r="J94" s="6">
        <v>45493</v>
      </c>
      <c r="K94" s="6">
        <v>45497</v>
      </c>
      <c r="L94" t="s">
        <v>33</v>
      </c>
    </row>
    <row r="95" spans="1:12" ht="15" customHeight="1" x14ac:dyDescent="0.2">
      <c r="A95" s="15">
        <v>45472</v>
      </c>
      <c r="B95" t="s">
        <v>139</v>
      </c>
      <c r="C95" t="s">
        <v>51</v>
      </c>
      <c r="D95" t="s">
        <v>36</v>
      </c>
      <c r="E95">
        <v>2</v>
      </c>
      <c r="F95">
        <v>12000</v>
      </c>
      <c r="G95">
        <f t="shared" si="4"/>
        <v>24000</v>
      </c>
      <c r="H95" s="4">
        <f>G95*Parametres!B$5</f>
        <v>4800</v>
      </c>
      <c r="I95">
        <f t="shared" si="5"/>
        <v>28800</v>
      </c>
      <c r="J95" s="6">
        <v>45489</v>
      </c>
      <c r="K95" s="6">
        <v>45498</v>
      </c>
      <c r="L95" t="s">
        <v>39</v>
      </c>
    </row>
    <row r="96" spans="1:12" ht="15" customHeight="1" x14ac:dyDescent="0.2">
      <c r="A96" s="15">
        <v>45482</v>
      </c>
      <c r="B96" t="s">
        <v>140</v>
      </c>
      <c r="C96" t="s">
        <v>41</v>
      </c>
      <c r="D96" t="s">
        <v>32</v>
      </c>
      <c r="E96">
        <v>2</v>
      </c>
      <c r="F96">
        <v>3000</v>
      </c>
      <c r="G96">
        <f t="shared" si="4"/>
        <v>6000</v>
      </c>
      <c r="H96" s="4">
        <f>G96*Parametres!B$5</f>
        <v>1200</v>
      </c>
      <c r="I96">
        <f t="shared" si="5"/>
        <v>7200</v>
      </c>
      <c r="J96" s="6">
        <v>45500</v>
      </c>
      <c r="K96" s="6">
        <v>45506</v>
      </c>
      <c r="L96" t="s">
        <v>39</v>
      </c>
    </row>
    <row r="97" spans="1:12" ht="15" customHeight="1" x14ac:dyDescent="0.2">
      <c r="A97" s="15">
        <v>45478</v>
      </c>
      <c r="B97" t="s">
        <v>141</v>
      </c>
      <c r="C97" t="s">
        <v>69</v>
      </c>
      <c r="D97" t="s">
        <v>56</v>
      </c>
      <c r="E97">
        <v>1</v>
      </c>
      <c r="F97">
        <v>20000</v>
      </c>
      <c r="G97">
        <f t="shared" si="4"/>
        <v>20000</v>
      </c>
      <c r="H97" s="4">
        <f>G97*Parametres!B$5</f>
        <v>4000</v>
      </c>
      <c r="I97">
        <f t="shared" si="5"/>
        <v>24000</v>
      </c>
      <c r="J97" s="6">
        <v>45507</v>
      </c>
      <c r="K97" s="6">
        <v>45516</v>
      </c>
      <c r="L97" t="s">
        <v>39</v>
      </c>
    </row>
    <row r="98" spans="1:12" ht="15" customHeight="1" x14ac:dyDescent="0.2">
      <c r="A98" s="15">
        <v>45471</v>
      </c>
      <c r="B98" t="s">
        <v>142</v>
      </c>
      <c r="C98" t="s">
        <v>61</v>
      </c>
      <c r="D98" t="s">
        <v>36</v>
      </c>
      <c r="E98">
        <v>2</v>
      </c>
      <c r="F98">
        <v>12000</v>
      </c>
      <c r="G98">
        <f t="shared" ref="G98:G127" si="6">E98*F98</f>
        <v>24000</v>
      </c>
      <c r="H98" s="4">
        <f>G98*Parametres!B$5</f>
        <v>4800</v>
      </c>
      <c r="I98">
        <f t="shared" ref="I98:I127" si="7">G98+H98</f>
        <v>28800</v>
      </c>
      <c r="J98" s="6">
        <v>45492</v>
      </c>
      <c r="K98" s="6">
        <v>45501</v>
      </c>
      <c r="L98" t="s">
        <v>39</v>
      </c>
    </row>
    <row r="99" spans="1:12" ht="15" customHeight="1" x14ac:dyDescent="0.2">
      <c r="A99" s="15">
        <v>45479</v>
      </c>
      <c r="B99" t="s">
        <v>143</v>
      </c>
      <c r="C99" t="s">
        <v>43</v>
      </c>
      <c r="D99" t="s">
        <v>36</v>
      </c>
      <c r="E99">
        <v>1</v>
      </c>
      <c r="F99">
        <v>10000</v>
      </c>
      <c r="G99">
        <f t="shared" si="6"/>
        <v>10000</v>
      </c>
      <c r="H99" s="4">
        <f>G99*Parametres!B$5</f>
        <v>2000</v>
      </c>
      <c r="I99">
        <f t="shared" si="7"/>
        <v>12000</v>
      </c>
      <c r="J99" s="6">
        <v>45506</v>
      </c>
      <c r="K99" s="6">
        <v>45511</v>
      </c>
      <c r="L99" t="s">
        <v>33</v>
      </c>
    </row>
    <row r="100" spans="1:12" ht="15" customHeight="1" x14ac:dyDescent="0.2">
      <c r="A100" s="15">
        <v>45517</v>
      </c>
      <c r="B100" t="s">
        <v>144</v>
      </c>
      <c r="C100" t="s">
        <v>49</v>
      </c>
      <c r="D100" t="s">
        <v>32</v>
      </c>
      <c r="E100">
        <v>1</v>
      </c>
      <c r="F100">
        <v>5000</v>
      </c>
      <c r="G100">
        <f t="shared" si="6"/>
        <v>5000</v>
      </c>
      <c r="H100" s="4">
        <f>G100*Parametres!B$5</f>
        <v>1000</v>
      </c>
      <c r="I100">
        <f t="shared" si="7"/>
        <v>6000</v>
      </c>
      <c r="J100" s="6">
        <v>45545</v>
      </c>
      <c r="K100" s="6">
        <v>45549</v>
      </c>
      <c r="L100" t="s">
        <v>33</v>
      </c>
    </row>
    <row r="101" spans="1:12" ht="15" customHeight="1" x14ac:dyDescent="0.2">
      <c r="A101" s="15">
        <v>45507</v>
      </c>
      <c r="B101" t="s">
        <v>145</v>
      </c>
      <c r="C101" t="s">
        <v>51</v>
      </c>
      <c r="D101" t="s">
        <v>38</v>
      </c>
      <c r="E101">
        <v>3</v>
      </c>
      <c r="F101">
        <v>4000</v>
      </c>
      <c r="G101">
        <f t="shared" si="6"/>
        <v>12000</v>
      </c>
      <c r="H101" s="4">
        <f>G101*Parametres!B$5</f>
        <v>2400</v>
      </c>
      <c r="I101">
        <f t="shared" si="7"/>
        <v>14400</v>
      </c>
      <c r="J101" s="6">
        <v>45533</v>
      </c>
      <c r="K101" s="6">
        <v>45538</v>
      </c>
      <c r="L101" t="s">
        <v>33</v>
      </c>
    </row>
    <row r="102" spans="1:12" ht="15" customHeight="1" x14ac:dyDescent="0.2">
      <c r="A102" s="15">
        <v>45511</v>
      </c>
      <c r="B102" t="s">
        <v>146</v>
      </c>
      <c r="C102" t="s">
        <v>31</v>
      </c>
      <c r="D102" t="s">
        <v>36</v>
      </c>
      <c r="E102">
        <v>2</v>
      </c>
      <c r="F102">
        <v>12000</v>
      </c>
      <c r="G102">
        <f t="shared" si="6"/>
        <v>24000</v>
      </c>
      <c r="H102" s="4">
        <f>G102*Parametres!B$5</f>
        <v>4800</v>
      </c>
      <c r="I102">
        <f t="shared" si="7"/>
        <v>28800</v>
      </c>
      <c r="J102" s="6">
        <v>45526</v>
      </c>
      <c r="K102" s="6">
        <v>45522</v>
      </c>
      <c r="L102" t="s">
        <v>33</v>
      </c>
    </row>
    <row r="103" spans="1:12" ht="15" customHeight="1" x14ac:dyDescent="0.2">
      <c r="A103" s="15">
        <v>45521</v>
      </c>
      <c r="B103" t="s">
        <v>147</v>
      </c>
      <c r="C103" t="s">
        <v>43</v>
      </c>
      <c r="D103" t="s">
        <v>56</v>
      </c>
      <c r="E103">
        <v>2</v>
      </c>
      <c r="F103">
        <v>18000</v>
      </c>
      <c r="G103">
        <f t="shared" si="6"/>
        <v>36000</v>
      </c>
      <c r="H103" s="4">
        <f>G103*Parametres!B$5</f>
        <v>7200</v>
      </c>
      <c r="I103">
        <f t="shared" si="7"/>
        <v>43200</v>
      </c>
      <c r="J103" s="6">
        <v>45537</v>
      </c>
      <c r="K103" s="6">
        <v>45546</v>
      </c>
      <c r="L103" t="s">
        <v>39</v>
      </c>
    </row>
    <row r="104" spans="1:12" ht="15" customHeight="1" x14ac:dyDescent="0.2">
      <c r="A104" s="15">
        <v>45501</v>
      </c>
      <c r="B104" t="s">
        <v>148</v>
      </c>
      <c r="C104" t="s">
        <v>61</v>
      </c>
      <c r="D104" t="s">
        <v>38</v>
      </c>
      <c r="E104">
        <v>2</v>
      </c>
      <c r="F104">
        <v>6000</v>
      </c>
      <c r="G104">
        <f t="shared" si="6"/>
        <v>12000</v>
      </c>
      <c r="H104" s="4">
        <f>G104*Parametres!B$5</f>
        <v>2400</v>
      </c>
      <c r="I104">
        <f t="shared" si="7"/>
        <v>14400</v>
      </c>
      <c r="J104" s="6">
        <v>45518</v>
      </c>
      <c r="K104" s="6">
        <v>45517</v>
      </c>
      <c r="L104" t="s">
        <v>33</v>
      </c>
    </row>
    <row r="105" spans="1:12" ht="15" customHeight="1" x14ac:dyDescent="0.2">
      <c r="A105" s="15">
        <v>45512</v>
      </c>
      <c r="B105" t="s">
        <v>149</v>
      </c>
      <c r="C105" t="s">
        <v>69</v>
      </c>
      <c r="D105" t="s">
        <v>36</v>
      </c>
      <c r="E105">
        <v>2</v>
      </c>
      <c r="F105">
        <v>12000</v>
      </c>
      <c r="G105">
        <f t="shared" si="6"/>
        <v>24000</v>
      </c>
      <c r="H105" s="4">
        <f>G105*Parametres!B$5</f>
        <v>4800</v>
      </c>
      <c r="I105">
        <f t="shared" si="7"/>
        <v>28800</v>
      </c>
      <c r="J105" s="6">
        <v>45536</v>
      </c>
      <c r="K105" s="6">
        <v>45537</v>
      </c>
      <c r="L105" t="s">
        <v>33</v>
      </c>
    </row>
    <row r="106" spans="1:12" ht="15" customHeight="1" x14ac:dyDescent="0.2">
      <c r="A106" s="15">
        <v>45549</v>
      </c>
      <c r="B106" t="s">
        <v>150</v>
      </c>
      <c r="C106" t="s">
        <v>47</v>
      </c>
      <c r="D106" t="s">
        <v>56</v>
      </c>
      <c r="E106">
        <v>2</v>
      </c>
      <c r="F106">
        <v>18000</v>
      </c>
      <c r="G106">
        <f t="shared" si="6"/>
        <v>36000</v>
      </c>
      <c r="H106" s="4">
        <f>G106*Parametres!B$5</f>
        <v>7200</v>
      </c>
      <c r="I106">
        <f t="shared" si="7"/>
        <v>43200</v>
      </c>
      <c r="J106" s="6">
        <v>45575</v>
      </c>
      <c r="K106" s="6">
        <v>45584</v>
      </c>
      <c r="L106" t="s">
        <v>39</v>
      </c>
    </row>
    <row r="107" spans="1:12" ht="15" customHeight="1" x14ac:dyDescent="0.2">
      <c r="A107" s="15">
        <v>45545</v>
      </c>
      <c r="B107" t="s">
        <v>151</v>
      </c>
      <c r="C107" t="s">
        <v>61</v>
      </c>
      <c r="D107" t="s">
        <v>32</v>
      </c>
      <c r="E107">
        <v>2</v>
      </c>
      <c r="F107">
        <v>3000</v>
      </c>
      <c r="G107">
        <f t="shared" si="6"/>
        <v>6000</v>
      </c>
      <c r="H107" s="4">
        <f>G107*Parametres!B$5</f>
        <v>1200</v>
      </c>
      <c r="I107">
        <f t="shared" si="7"/>
        <v>7200</v>
      </c>
      <c r="J107" s="6">
        <v>45571</v>
      </c>
      <c r="K107" s="6">
        <v>45571</v>
      </c>
      <c r="L107" t="s">
        <v>33</v>
      </c>
    </row>
    <row r="108" spans="1:12" ht="15" customHeight="1" x14ac:dyDescent="0.2">
      <c r="A108" s="15">
        <v>45529</v>
      </c>
      <c r="B108" t="s">
        <v>152</v>
      </c>
      <c r="C108" t="s">
        <v>51</v>
      </c>
      <c r="D108" t="s">
        <v>36</v>
      </c>
      <c r="E108">
        <v>2</v>
      </c>
      <c r="F108">
        <v>11000</v>
      </c>
      <c r="G108">
        <f t="shared" si="6"/>
        <v>22000</v>
      </c>
      <c r="H108" s="4">
        <f>G108*Parametres!B$5</f>
        <v>4400</v>
      </c>
      <c r="I108">
        <f t="shared" si="7"/>
        <v>26400</v>
      </c>
      <c r="J108" s="6">
        <v>45550</v>
      </c>
      <c r="K108" s="6">
        <v>45554</v>
      </c>
      <c r="L108" t="s">
        <v>33</v>
      </c>
    </row>
    <row r="109" spans="1:12" ht="15" customHeight="1" x14ac:dyDescent="0.2">
      <c r="A109" s="15">
        <v>45533</v>
      </c>
      <c r="B109" t="s">
        <v>153</v>
      </c>
      <c r="C109" t="s">
        <v>69</v>
      </c>
      <c r="D109" t="s">
        <v>38</v>
      </c>
      <c r="E109">
        <v>3</v>
      </c>
      <c r="F109">
        <v>4000</v>
      </c>
      <c r="G109">
        <f t="shared" si="6"/>
        <v>12000</v>
      </c>
      <c r="H109" s="4">
        <f>G109*Parametres!B$5</f>
        <v>2400</v>
      </c>
      <c r="I109">
        <f t="shared" si="7"/>
        <v>14400</v>
      </c>
      <c r="J109" s="6">
        <v>45559</v>
      </c>
      <c r="K109" s="6">
        <v>45567</v>
      </c>
      <c r="L109" t="s">
        <v>39</v>
      </c>
    </row>
    <row r="110" spans="1:12" ht="15" customHeight="1" x14ac:dyDescent="0.2">
      <c r="A110" s="15">
        <v>45583</v>
      </c>
      <c r="B110" t="s">
        <v>154</v>
      </c>
      <c r="C110" t="s">
        <v>49</v>
      </c>
      <c r="D110" t="s">
        <v>36</v>
      </c>
      <c r="E110">
        <v>3</v>
      </c>
      <c r="F110">
        <v>12000</v>
      </c>
      <c r="G110">
        <f t="shared" si="6"/>
        <v>36000</v>
      </c>
      <c r="H110" s="4">
        <f>G110*Parametres!B$5</f>
        <v>7200</v>
      </c>
      <c r="I110">
        <f t="shared" si="7"/>
        <v>43200</v>
      </c>
      <c r="J110" s="6">
        <v>45602</v>
      </c>
      <c r="K110" s="6">
        <v>45600</v>
      </c>
      <c r="L110" t="s">
        <v>33</v>
      </c>
    </row>
    <row r="111" spans="1:12" ht="15" customHeight="1" x14ac:dyDescent="0.2">
      <c r="A111" s="15">
        <v>45573</v>
      </c>
      <c r="B111" t="s">
        <v>155</v>
      </c>
      <c r="C111" t="s">
        <v>47</v>
      </c>
      <c r="D111" t="s">
        <v>36</v>
      </c>
      <c r="E111">
        <v>1</v>
      </c>
      <c r="F111">
        <v>12000</v>
      </c>
      <c r="G111">
        <f t="shared" si="6"/>
        <v>12000</v>
      </c>
      <c r="H111" s="4">
        <f>G111*Parametres!B$5</f>
        <v>2400</v>
      </c>
      <c r="I111">
        <f t="shared" si="7"/>
        <v>14400</v>
      </c>
      <c r="J111" s="6">
        <v>45601</v>
      </c>
      <c r="K111" s="6">
        <v>45611</v>
      </c>
      <c r="L111" t="s">
        <v>39</v>
      </c>
    </row>
    <row r="112" spans="1:12" ht="15" customHeight="1" x14ac:dyDescent="0.2">
      <c r="A112" s="15">
        <v>45562</v>
      </c>
      <c r="B112" t="s">
        <v>156</v>
      </c>
      <c r="C112" t="s">
        <v>51</v>
      </c>
      <c r="D112" t="s">
        <v>36</v>
      </c>
      <c r="E112">
        <v>3</v>
      </c>
      <c r="F112">
        <v>8000</v>
      </c>
      <c r="G112">
        <f t="shared" si="6"/>
        <v>24000</v>
      </c>
      <c r="H112" s="4">
        <f>G112*Parametres!B$5</f>
        <v>4800</v>
      </c>
      <c r="I112">
        <f t="shared" si="7"/>
        <v>28800</v>
      </c>
      <c r="J112" s="6">
        <v>45582</v>
      </c>
      <c r="K112" s="6">
        <v>45580</v>
      </c>
      <c r="L112" t="s">
        <v>33</v>
      </c>
    </row>
    <row r="113" spans="1:12" ht="15" customHeight="1" x14ac:dyDescent="0.2">
      <c r="A113" s="15">
        <v>45580</v>
      </c>
      <c r="B113" t="s">
        <v>157</v>
      </c>
      <c r="C113" t="s">
        <v>47</v>
      </c>
      <c r="D113" t="s">
        <v>38</v>
      </c>
      <c r="E113">
        <v>1</v>
      </c>
      <c r="F113">
        <v>4000</v>
      </c>
      <c r="G113">
        <f t="shared" si="6"/>
        <v>4000</v>
      </c>
      <c r="H113" s="4">
        <f>G113*Parametres!B$5</f>
        <v>800</v>
      </c>
      <c r="I113">
        <f t="shared" si="7"/>
        <v>4800</v>
      </c>
      <c r="J113" s="6">
        <v>45598</v>
      </c>
      <c r="K113" s="6">
        <v>45596</v>
      </c>
      <c r="L113" t="s">
        <v>33</v>
      </c>
    </row>
    <row r="114" spans="1:12" ht="15" customHeight="1" x14ac:dyDescent="0.2">
      <c r="A114" s="15">
        <v>45581</v>
      </c>
      <c r="B114" t="s">
        <v>158</v>
      </c>
      <c r="C114" t="s">
        <v>87</v>
      </c>
      <c r="D114" t="s">
        <v>32</v>
      </c>
      <c r="E114">
        <v>1</v>
      </c>
      <c r="F114">
        <v>5000</v>
      </c>
      <c r="G114">
        <f t="shared" si="6"/>
        <v>5000</v>
      </c>
      <c r="H114" s="4">
        <f>G114*Parametres!B$5</f>
        <v>1000</v>
      </c>
      <c r="I114">
        <f t="shared" si="7"/>
        <v>6000</v>
      </c>
      <c r="J114" s="6">
        <v>45604</v>
      </c>
      <c r="K114" s="6">
        <v>45601</v>
      </c>
      <c r="L114" t="s">
        <v>33</v>
      </c>
    </row>
    <row r="115" spans="1:12" ht="15" customHeight="1" x14ac:dyDescent="0.2">
      <c r="A115" s="15">
        <v>45563</v>
      </c>
      <c r="B115" t="s">
        <v>159</v>
      </c>
      <c r="C115" t="s">
        <v>47</v>
      </c>
      <c r="D115" t="s">
        <v>32</v>
      </c>
      <c r="E115">
        <v>3</v>
      </c>
      <c r="F115">
        <v>5000</v>
      </c>
      <c r="G115">
        <f t="shared" si="6"/>
        <v>15000</v>
      </c>
      <c r="H115" s="4">
        <f>G115*Parametres!B$5</f>
        <v>3000</v>
      </c>
      <c r="I115">
        <f t="shared" si="7"/>
        <v>18000</v>
      </c>
      <c r="J115" s="6">
        <v>45586</v>
      </c>
      <c r="K115" s="6">
        <v>45584</v>
      </c>
      <c r="L115" t="s">
        <v>33</v>
      </c>
    </row>
    <row r="116" spans="1:12" ht="15" customHeight="1" x14ac:dyDescent="0.2">
      <c r="A116" s="15">
        <v>45615</v>
      </c>
      <c r="B116" t="s">
        <v>160</v>
      </c>
      <c r="C116" t="s">
        <v>41</v>
      </c>
      <c r="D116" t="s">
        <v>38</v>
      </c>
      <c r="E116">
        <v>2</v>
      </c>
      <c r="F116">
        <v>6000</v>
      </c>
      <c r="G116">
        <f t="shared" si="6"/>
        <v>12000</v>
      </c>
      <c r="H116" s="4">
        <f>G116*Parametres!B$5</f>
        <v>2400</v>
      </c>
      <c r="I116">
        <f t="shared" si="7"/>
        <v>14400</v>
      </c>
      <c r="J116" s="6">
        <v>45642</v>
      </c>
      <c r="L116" t="s">
        <v>161</v>
      </c>
    </row>
    <row r="117" spans="1:12" ht="15" customHeight="1" x14ac:dyDescent="0.2">
      <c r="A117" s="15">
        <v>45591</v>
      </c>
      <c r="B117" t="s">
        <v>162</v>
      </c>
      <c r="C117" t="s">
        <v>41</v>
      </c>
      <c r="D117" t="s">
        <v>38</v>
      </c>
      <c r="E117">
        <v>1</v>
      </c>
      <c r="F117">
        <v>4000</v>
      </c>
      <c r="G117">
        <f t="shared" si="6"/>
        <v>4000</v>
      </c>
      <c r="H117" s="4">
        <f>G117*Parametres!B$5</f>
        <v>800</v>
      </c>
      <c r="I117">
        <f t="shared" si="7"/>
        <v>4800</v>
      </c>
      <c r="J117" s="6">
        <v>45612</v>
      </c>
      <c r="K117" s="6">
        <v>45608</v>
      </c>
      <c r="L117" t="s">
        <v>33</v>
      </c>
    </row>
    <row r="118" spans="1:12" ht="15" customHeight="1" x14ac:dyDescent="0.2">
      <c r="A118" s="15">
        <v>45608</v>
      </c>
      <c r="B118" t="s">
        <v>163</v>
      </c>
      <c r="C118" t="s">
        <v>87</v>
      </c>
      <c r="D118" t="s">
        <v>56</v>
      </c>
      <c r="E118">
        <v>1</v>
      </c>
      <c r="F118">
        <v>12000</v>
      </c>
      <c r="G118">
        <f t="shared" si="6"/>
        <v>12000</v>
      </c>
      <c r="H118" s="4">
        <f>G118*Parametres!B$5</f>
        <v>2400</v>
      </c>
      <c r="I118">
        <f t="shared" si="7"/>
        <v>14400</v>
      </c>
      <c r="J118" s="6">
        <v>45627</v>
      </c>
      <c r="L118" t="s">
        <v>161</v>
      </c>
    </row>
    <row r="119" spans="1:12" ht="15" customHeight="1" x14ac:dyDescent="0.2">
      <c r="A119" s="15">
        <v>45601</v>
      </c>
      <c r="B119" t="s">
        <v>164</v>
      </c>
      <c r="C119" t="s">
        <v>49</v>
      </c>
      <c r="D119" t="s">
        <v>32</v>
      </c>
      <c r="E119">
        <v>1</v>
      </c>
      <c r="F119">
        <v>4000</v>
      </c>
      <c r="G119">
        <f t="shared" si="6"/>
        <v>4000</v>
      </c>
      <c r="H119" s="4">
        <f>G119*Parametres!B$5</f>
        <v>800</v>
      </c>
      <c r="I119">
        <f t="shared" si="7"/>
        <v>4800</v>
      </c>
      <c r="J119" s="6">
        <v>45624</v>
      </c>
      <c r="L119" t="s">
        <v>161</v>
      </c>
    </row>
    <row r="120" spans="1:12" ht="15" customHeight="1" x14ac:dyDescent="0.2">
      <c r="A120" s="15">
        <v>45603</v>
      </c>
      <c r="B120" t="s">
        <v>165</v>
      </c>
      <c r="C120" t="s">
        <v>69</v>
      </c>
      <c r="D120" t="s">
        <v>36</v>
      </c>
      <c r="E120">
        <v>2</v>
      </c>
      <c r="F120">
        <v>11000</v>
      </c>
      <c r="G120">
        <f t="shared" si="6"/>
        <v>22000</v>
      </c>
      <c r="H120" s="4">
        <f>G120*Parametres!B$5</f>
        <v>4400</v>
      </c>
      <c r="I120">
        <f t="shared" si="7"/>
        <v>26400</v>
      </c>
      <c r="J120" s="6">
        <v>45626</v>
      </c>
      <c r="L120" t="s">
        <v>161</v>
      </c>
    </row>
    <row r="121" spans="1:12" ht="15" customHeight="1" x14ac:dyDescent="0.2">
      <c r="A121" s="15">
        <v>45603</v>
      </c>
      <c r="B121" t="s">
        <v>166</v>
      </c>
      <c r="C121" t="s">
        <v>35</v>
      </c>
      <c r="D121" t="s">
        <v>38</v>
      </c>
      <c r="E121">
        <v>3</v>
      </c>
      <c r="F121">
        <v>5000</v>
      </c>
      <c r="G121">
        <f t="shared" si="6"/>
        <v>15000</v>
      </c>
      <c r="H121" s="4">
        <f>G121*Parametres!B$5</f>
        <v>3000</v>
      </c>
      <c r="I121">
        <f t="shared" si="7"/>
        <v>18000</v>
      </c>
      <c r="J121" s="6">
        <v>45633</v>
      </c>
      <c r="L121" t="s">
        <v>161</v>
      </c>
    </row>
    <row r="122" spans="1:12" ht="15" customHeight="1" x14ac:dyDescent="0.2">
      <c r="A122" s="15">
        <v>45621</v>
      </c>
      <c r="B122" t="s">
        <v>167</v>
      </c>
      <c r="C122" t="s">
        <v>69</v>
      </c>
      <c r="D122" t="s">
        <v>38</v>
      </c>
      <c r="E122">
        <v>3</v>
      </c>
      <c r="F122">
        <v>4000</v>
      </c>
      <c r="G122">
        <f t="shared" si="6"/>
        <v>12000</v>
      </c>
      <c r="H122" s="4">
        <f>G122*Parametres!B$5</f>
        <v>2400</v>
      </c>
      <c r="I122">
        <f t="shared" si="7"/>
        <v>14400</v>
      </c>
      <c r="J122" s="6">
        <v>45643</v>
      </c>
      <c r="L122" t="s">
        <v>161</v>
      </c>
    </row>
    <row r="123" spans="1:12" ht="15" customHeight="1" x14ac:dyDescent="0.2">
      <c r="A123" s="15">
        <v>45631</v>
      </c>
      <c r="B123" t="s">
        <v>168</v>
      </c>
      <c r="C123" t="s">
        <v>87</v>
      </c>
      <c r="D123" t="s">
        <v>56</v>
      </c>
      <c r="E123">
        <v>2</v>
      </c>
      <c r="F123">
        <v>10000</v>
      </c>
      <c r="G123">
        <f t="shared" si="6"/>
        <v>20000</v>
      </c>
      <c r="H123" s="4">
        <f>G123*Parametres!B$5</f>
        <v>4000</v>
      </c>
      <c r="I123">
        <f t="shared" si="7"/>
        <v>24000</v>
      </c>
      <c r="J123" s="6">
        <v>45648</v>
      </c>
      <c r="L123" t="s">
        <v>161</v>
      </c>
    </row>
    <row r="124" spans="1:12" ht="15" customHeight="1" x14ac:dyDescent="0.2">
      <c r="A124" s="15">
        <v>45625</v>
      </c>
      <c r="B124" t="s">
        <v>169</v>
      </c>
      <c r="C124" t="s">
        <v>49</v>
      </c>
      <c r="D124" t="s">
        <v>32</v>
      </c>
      <c r="E124">
        <v>3</v>
      </c>
      <c r="F124">
        <v>5000</v>
      </c>
      <c r="G124">
        <f t="shared" si="6"/>
        <v>15000</v>
      </c>
      <c r="H124" s="4">
        <f>G124*Parametres!B$5</f>
        <v>3000</v>
      </c>
      <c r="I124">
        <f t="shared" si="7"/>
        <v>18000</v>
      </c>
      <c r="J124" s="6">
        <v>45640</v>
      </c>
      <c r="L124" t="s">
        <v>161</v>
      </c>
    </row>
    <row r="125" spans="1:12" ht="15" customHeight="1" x14ac:dyDescent="0.2">
      <c r="A125" s="15">
        <v>45635</v>
      </c>
      <c r="B125" t="s">
        <v>170</v>
      </c>
      <c r="C125" t="s">
        <v>51</v>
      </c>
      <c r="D125" t="s">
        <v>32</v>
      </c>
      <c r="E125">
        <v>3</v>
      </c>
      <c r="F125">
        <v>2000</v>
      </c>
      <c r="G125">
        <f t="shared" si="6"/>
        <v>6000</v>
      </c>
      <c r="H125" s="4">
        <f>G125*Parametres!B$5</f>
        <v>1200</v>
      </c>
      <c r="I125">
        <f t="shared" si="7"/>
        <v>7200</v>
      </c>
      <c r="J125" s="6">
        <v>45651</v>
      </c>
      <c r="L125" t="s">
        <v>161</v>
      </c>
    </row>
    <row r="126" spans="1:12" ht="15" customHeight="1" x14ac:dyDescent="0.2">
      <c r="A126" s="15">
        <v>45635</v>
      </c>
      <c r="B126" t="s">
        <v>171</v>
      </c>
      <c r="C126" t="s">
        <v>69</v>
      </c>
      <c r="D126" t="s">
        <v>56</v>
      </c>
      <c r="E126">
        <v>3</v>
      </c>
      <c r="F126">
        <v>14000</v>
      </c>
      <c r="G126">
        <f t="shared" si="6"/>
        <v>42000</v>
      </c>
      <c r="H126" s="4">
        <f>G126*Parametres!B$5</f>
        <v>8400</v>
      </c>
      <c r="I126">
        <f t="shared" si="7"/>
        <v>50400</v>
      </c>
      <c r="J126" s="6">
        <v>45653</v>
      </c>
      <c r="L126" t="s">
        <v>161</v>
      </c>
    </row>
    <row r="127" spans="1:12" ht="15" customHeight="1" x14ac:dyDescent="0.2">
      <c r="A127" s="15">
        <v>45634</v>
      </c>
      <c r="B127" t="s">
        <v>172</v>
      </c>
      <c r="C127" t="s">
        <v>41</v>
      </c>
      <c r="D127" t="s">
        <v>32</v>
      </c>
      <c r="E127">
        <v>1</v>
      </c>
      <c r="F127">
        <v>3000</v>
      </c>
      <c r="G127">
        <f t="shared" si="6"/>
        <v>3000</v>
      </c>
      <c r="H127" s="4">
        <f>G127*Parametres!B$5</f>
        <v>600</v>
      </c>
      <c r="I127">
        <f t="shared" si="7"/>
        <v>3600</v>
      </c>
      <c r="J127" s="6">
        <v>45657</v>
      </c>
      <c r="L127" t="s">
        <v>161</v>
      </c>
    </row>
  </sheetData>
  <autoFilter ref="A1:L127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"/>
  <sheetViews>
    <sheetView zoomScaleNormal="100" workbookViewId="0">
      <selection activeCell="A9" sqref="A9"/>
    </sheetView>
  </sheetViews>
  <sheetFormatPr baseColWidth="10" defaultColWidth="8.6640625" defaultRowHeight="15" x14ac:dyDescent="0.2"/>
  <cols>
    <col min="1" max="1" width="15" style="15" customWidth="1"/>
    <col min="2" max="5" width="15" customWidth="1"/>
    <col min="6" max="6" width="39.6640625" bestFit="1" customWidth="1"/>
    <col min="8" max="9" width="15" customWidth="1"/>
  </cols>
  <sheetData>
    <row r="1" spans="1:9" ht="15" customHeight="1" x14ac:dyDescent="0.2">
      <c r="A1" s="14" t="s">
        <v>173</v>
      </c>
      <c r="B1" s="7" t="s">
        <v>174</v>
      </c>
      <c r="C1" s="7" t="s">
        <v>175</v>
      </c>
      <c r="D1" s="7" t="s">
        <v>176</v>
      </c>
      <c r="E1" s="7" t="s">
        <v>177</v>
      </c>
      <c r="F1" s="7" t="s">
        <v>2</v>
      </c>
      <c r="G1" s="7" t="s">
        <v>178</v>
      </c>
      <c r="H1" s="7" t="s">
        <v>179</v>
      </c>
      <c r="I1" s="7" t="s">
        <v>29</v>
      </c>
    </row>
    <row r="2" spans="1:9" ht="15" customHeight="1" x14ac:dyDescent="0.2">
      <c r="A2" s="15">
        <v>44927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>
        <v>3000</v>
      </c>
      <c r="H2" s="6">
        <v>44929</v>
      </c>
      <c r="I2" t="s">
        <v>33</v>
      </c>
    </row>
    <row r="3" spans="1:9" ht="15" customHeight="1" x14ac:dyDescent="0.2">
      <c r="A3" s="15">
        <v>44927</v>
      </c>
      <c r="B3" t="s">
        <v>185</v>
      </c>
      <c r="C3" t="s">
        <v>186</v>
      </c>
      <c r="D3" t="s">
        <v>182</v>
      </c>
      <c r="E3" t="s">
        <v>187</v>
      </c>
      <c r="F3" t="s">
        <v>188</v>
      </c>
      <c r="G3">
        <v>12000</v>
      </c>
      <c r="H3" s="6">
        <v>44931</v>
      </c>
      <c r="I3" t="s">
        <v>33</v>
      </c>
    </row>
    <row r="4" spans="1:9" ht="15" customHeight="1" x14ac:dyDescent="0.2">
      <c r="A4" s="15">
        <v>44927</v>
      </c>
      <c r="B4" t="s">
        <v>189</v>
      </c>
      <c r="C4" t="s">
        <v>190</v>
      </c>
      <c r="D4" t="s">
        <v>182</v>
      </c>
      <c r="E4" t="s">
        <v>191</v>
      </c>
      <c r="F4" t="s">
        <v>192</v>
      </c>
      <c r="G4">
        <v>800</v>
      </c>
      <c r="H4" s="6">
        <v>44930</v>
      </c>
      <c r="I4" t="s">
        <v>33</v>
      </c>
    </row>
    <row r="5" spans="1:9" ht="15" customHeight="1" x14ac:dyDescent="0.2">
      <c r="A5" s="15">
        <v>44933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>
        <v>4474</v>
      </c>
      <c r="H5" s="6">
        <v>44936</v>
      </c>
      <c r="I5" t="s">
        <v>33</v>
      </c>
    </row>
    <row r="6" spans="1:9" ht="15" customHeight="1" x14ac:dyDescent="0.2">
      <c r="A6" s="15">
        <v>44927</v>
      </c>
      <c r="B6" t="s">
        <v>198</v>
      </c>
      <c r="C6" t="s">
        <v>181</v>
      </c>
      <c r="D6" t="s">
        <v>182</v>
      </c>
      <c r="E6" t="s">
        <v>183</v>
      </c>
      <c r="F6" t="s">
        <v>184</v>
      </c>
      <c r="G6">
        <v>3000</v>
      </c>
      <c r="H6" s="6">
        <v>44931</v>
      </c>
      <c r="I6" t="s">
        <v>33</v>
      </c>
    </row>
    <row r="7" spans="1:9" ht="15" customHeight="1" x14ac:dyDescent="0.2">
      <c r="A7" s="15">
        <v>44927</v>
      </c>
      <c r="B7" t="s">
        <v>199</v>
      </c>
      <c r="C7" t="s">
        <v>186</v>
      </c>
      <c r="D7" t="s">
        <v>182</v>
      </c>
      <c r="E7" t="s">
        <v>187</v>
      </c>
      <c r="F7" t="s">
        <v>188</v>
      </c>
      <c r="G7">
        <v>12000</v>
      </c>
      <c r="H7" s="6">
        <v>44930</v>
      </c>
      <c r="I7" t="s">
        <v>33</v>
      </c>
    </row>
    <row r="8" spans="1:9" ht="15" customHeight="1" x14ac:dyDescent="0.2">
      <c r="A8" s="15">
        <v>44927</v>
      </c>
      <c r="B8" t="s">
        <v>200</v>
      </c>
      <c r="C8" t="s">
        <v>190</v>
      </c>
      <c r="D8" t="s">
        <v>182</v>
      </c>
      <c r="E8" t="s">
        <v>191</v>
      </c>
      <c r="F8" t="s">
        <v>192</v>
      </c>
      <c r="G8">
        <v>800</v>
      </c>
      <c r="H8" s="6">
        <v>44928</v>
      </c>
      <c r="I8" t="s">
        <v>33</v>
      </c>
    </row>
    <row r="9" spans="1:9" ht="15" customHeight="1" x14ac:dyDescent="0.2">
      <c r="A9" s="15">
        <v>44946</v>
      </c>
      <c r="B9" t="s">
        <v>201</v>
      </c>
      <c r="C9" t="s">
        <v>202</v>
      </c>
      <c r="D9" t="s">
        <v>195</v>
      </c>
      <c r="E9" t="s">
        <v>203</v>
      </c>
      <c r="F9" t="s">
        <v>204</v>
      </c>
      <c r="G9">
        <v>2570</v>
      </c>
      <c r="H9" s="6">
        <v>44949</v>
      </c>
      <c r="I9" t="s">
        <v>33</v>
      </c>
    </row>
    <row r="10" spans="1:9" ht="15" customHeight="1" x14ac:dyDescent="0.2">
      <c r="A10" s="15">
        <v>44946</v>
      </c>
      <c r="B10" t="s">
        <v>205</v>
      </c>
      <c r="C10" t="s">
        <v>202</v>
      </c>
      <c r="D10" t="s">
        <v>195</v>
      </c>
      <c r="E10" t="s">
        <v>203</v>
      </c>
      <c r="F10" t="s">
        <v>204</v>
      </c>
      <c r="G10">
        <v>1740</v>
      </c>
      <c r="H10" s="6">
        <v>44946</v>
      </c>
      <c r="I10" t="s">
        <v>33</v>
      </c>
    </row>
    <row r="11" spans="1:9" ht="15" customHeight="1" x14ac:dyDescent="0.2">
      <c r="A11" s="15">
        <v>44986</v>
      </c>
      <c r="B11" t="s">
        <v>206</v>
      </c>
      <c r="C11" t="s">
        <v>181</v>
      </c>
      <c r="D11" t="s">
        <v>182</v>
      </c>
      <c r="E11" t="s">
        <v>183</v>
      </c>
      <c r="F11" t="s">
        <v>184</v>
      </c>
      <c r="G11">
        <v>3000</v>
      </c>
      <c r="H11" s="6">
        <v>44990</v>
      </c>
      <c r="I11" t="s">
        <v>33</v>
      </c>
    </row>
    <row r="12" spans="1:9" ht="15" customHeight="1" x14ac:dyDescent="0.2">
      <c r="A12" s="15">
        <v>44986</v>
      </c>
      <c r="B12" t="s">
        <v>207</v>
      </c>
      <c r="C12" t="s">
        <v>186</v>
      </c>
      <c r="D12" t="s">
        <v>182</v>
      </c>
      <c r="E12" t="s">
        <v>187</v>
      </c>
      <c r="F12" t="s">
        <v>188</v>
      </c>
      <c r="G12">
        <v>12000</v>
      </c>
      <c r="H12" s="6">
        <v>44986</v>
      </c>
      <c r="I12" t="s">
        <v>33</v>
      </c>
    </row>
    <row r="13" spans="1:9" ht="15" customHeight="1" x14ac:dyDescent="0.2">
      <c r="A13" s="15">
        <v>44986</v>
      </c>
      <c r="B13" t="s">
        <v>208</v>
      </c>
      <c r="C13" t="s">
        <v>190</v>
      </c>
      <c r="D13" t="s">
        <v>182</v>
      </c>
      <c r="E13" t="s">
        <v>191</v>
      </c>
      <c r="F13" t="s">
        <v>192</v>
      </c>
      <c r="G13">
        <v>800</v>
      </c>
      <c r="H13" s="6">
        <v>44990</v>
      </c>
      <c r="I13" t="s">
        <v>33</v>
      </c>
    </row>
    <row r="14" spans="1:9" ht="15" customHeight="1" x14ac:dyDescent="0.2">
      <c r="A14" s="15">
        <v>44997</v>
      </c>
      <c r="B14" t="s">
        <v>209</v>
      </c>
      <c r="C14" t="s">
        <v>194</v>
      </c>
      <c r="D14" t="s">
        <v>195</v>
      </c>
      <c r="E14" t="s">
        <v>196</v>
      </c>
      <c r="F14" t="s">
        <v>197</v>
      </c>
      <c r="G14">
        <v>2410</v>
      </c>
      <c r="H14" s="6">
        <v>44999</v>
      </c>
      <c r="I14" t="s">
        <v>33</v>
      </c>
    </row>
    <row r="15" spans="1:9" ht="15" customHeight="1" x14ac:dyDescent="0.2">
      <c r="A15" s="15">
        <v>45007</v>
      </c>
      <c r="B15" t="s">
        <v>210</v>
      </c>
      <c r="C15" t="s">
        <v>211</v>
      </c>
      <c r="D15" t="s">
        <v>195</v>
      </c>
      <c r="E15" t="s">
        <v>212</v>
      </c>
      <c r="F15" t="s">
        <v>213</v>
      </c>
      <c r="G15">
        <v>613</v>
      </c>
      <c r="H15" s="6">
        <v>45009</v>
      </c>
      <c r="I15" t="s">
        <v>33</v>
      </c>
    </row>
    <row r="16" spans="1:9" ht="15" customHeight="1" x14ac:dyDescent="0.2">
      <c r="A16" s="15">
        <v>45017</v>
      </c>
      <c r="B16" t="s">
        <v>214</v>
      </c>
      <c r="C16" t="s">
        <v>181</v>
      </c>
      <c r="D16" t="s">
        <v>182</v>
      </c>
      <c r="E16" t="s">
        <v>183</v>
      </c>
      <c r="F16" t="s">
        <v>184</v>
      </c>
      <c r="G16">
        <v>3000</v>
      </c>
      <c r="H16" s="6">
        <v>45022</v>
      </c>
      <c r="I16" t="s">
        <v>33</v>
      </c>
    </row>
    <row r="17" spans="1:9" ht="15" customHeight="1" x14ac:dyDescent="0.2">
      <c r="A17" s="15">
        <v>45017</v>
      </c>
      <c r="B17" t="s">
        <v>215</v>
      </c>
      <c r="C17" t="s">
        <v>186</v>
      </c>
      <c r="D17" t="s">
        <v>182</v>
      </c>
      <c r="E17" t="s">
        <v>187</v>
      </c>
      <c r="F17" t="s">
        <v>188</v>
      </c>
      <c r="G17">
        <v>12000</v>
      </c>
      <c r="H17" s="6">
        <v>45017</v>
      </c>
      <c r="I17" t="s">
        <v>33</v>
      </c>
    </row>
    <row r="18" spans="1:9" ht="15" customHeight="1" x14ac:dyDescent="0.2">
      <c r="A18" s="15">
        <v>45017</v>
      </c>
      <c r="B18" t="s">
        <v>216</v>
      </c>
      <c r="C18" t="s">
        <v>190</v>
      </c>
      <c r="D18" t="s">
        <v>182</v>
      </c>
      <c r="E18" t="s">
        <v>191</v>
      </c>
      <c r="F18" t="s">
        <v>192</v>
      </c>
      <c r="G18">
        <v>800</v>
      </c>
      <c r="H18" s="6">
        <v>45022</v>
      </c>
      <c r="I18" t="s">
        <v>33</v>
      </c>
    </row>
    <row r="19" spans="1:9" ht="15" customHeight="1" x14ac:dyDescent="0.2">
      <c r="A19" s="15">
        <v>45039</v>
      </c>
      <c r="B19" t="s">
        <v>217</v>
      </c>
      <c r="C19" t="s">
        <v>211</v>
      </c>
      <c r="D19" t="s">
        <v>195</v>
      </c>
      <c r="E19" t="s">
        <v>212</v>
      </c>
      <c r="F19" t="s">
        <v>213</v>
      </c>
      <c r="G19">
        <v>522</v>
      </c>
      <c r="H19" s="6">
        <v>45039</v>
      </c>
      <c r="I19" t="s">
        <v>33</v>
      </c>
    </row>
    <row r="20" spans="1:9" ht="15" customHeight="1" x14ac:dyDescent="0.2">
      <c r="A20" s="15">
        <v>45047</v>
      </c>
      <c r="B20" t="s">
        <v>218</v>
      </c>
      <c r="C20" t="s">
        <v>181</v>
      </c>
      <c r="D20" t="s">
        <v>182</v>
      </c>
      <c r="E20" t="s">
        <v>183</v>
      </c>
      <c r="F20" t="s">
        <v>184</v>
      </c>
      <c r="G20">
        <v>3000</v>
      </c>
      <c r="H20" s="6">
        <v>45051</v>
      </c>
      <c r="I20" t="s">
        <v>33</v>
      </c>
    </row>
    <row r="21" spans="1:9" ht="15" customHeight="1" x14ac:dyDescent="0.2">
      <c r="A21" s="15">
        <v>45047</v>
      </c>
      <c r="B21" t="s">
        <v>219</v>
      </c>
      <c r="C21" t="s">
        <v>186</v>
      </c>
      <c r="D21" t="s">
        <v>182</v>
      </c>
      <c r="E21" t="s">
        <v>187</v>
      </c>
      <c r="F21" t="s">
        <v>188</v>
      </c>
      <c r="G21">
        <v>12000</v>
      </c>
      <c r="H21" s="6">
        <v>45051</v>
      </c>
      <c r="I21" t="s">
        <v>33</v>
      </c>
    </row>
    <row r="22" spans="1:9" ht="15" customHeight="1" x14ac:dyDescent="0.2">
      <c r="A22" s="15">
        <v>45047</v>
      </c>
      <c r="B22" t="s">
        <v>220</v>
      </c>
      <c r="C22" t="s">
        <v>190</v>
      </c>
      <c r="D22" t="s">
        <v>182</v>
      </c>
      <c r="E22" t="s">
        <v>191</v>
      </c>
      <c r="F22" t="s">
        <v>192</v>
      </c>
      <c r="G22">
        <v>800</v>
      </c>
      <c r="H22" s="6">
        <v>45050</v>
      </c>
      <c r="I22" t="s">
        <v>33</v>
      </c>
    </row>
    <row r="23" spans="1:9" ht="15" customHeight="1" x14ac:dyDescent="0.2">
      <c r="A23" s="15">
        <v>45062</v>
      </c>
      <c r="B23" t="s">
        <v>221</v>
      </c>
      <c r="C23" t="s">
        <v>222</v>
      </c>
      <c r="D23" t="s">
        <v>195</v>
      </c>
      <c r="E23" t="s">
        <v>223</v>
      </c>
      <c r="F23" t="s">
        <v>224</v>
      </c>
      <c r="G23">
        <v>2277</v>
      </c>
      <c r="H23" s="6">
        <v>45063</v>
      </c>
      <c r="I23" t="s">
        <v>33</v>
      </c>
    </row>
    <row r="24" spans="1:9" ht="15" customHeight="1" x14ac:dyDescent="0.2">
      <c r="A24" s="15">
        <v>45066</v>
      </c>
      <c r="B24" t="s">
        <v>225</v>
      </c>
      <c r="C24" t="s">
        <v>222</v>
      </c>
      <c r="D24" t="s">
        <v>195</v>
      </c>
      <c r="E24" t="s">
        <v>223</v>
      </c>
      <c r="F24" t="s">
        <v>224</v>
      </c>
      <c r="G24">
        <v>1289</v>
      </c>
      <c r="H24" s="6">
        <v>45069</v>
      </c>
      <c r="I24" t="s">
        <v>33</v>
      </c>
    </row>
    <row r="25" spans="1:9" ht="15" customHeight="1" x14ac:dyDescent="0.2">
      <c r="A25" s="15">
        <v>45047</v>
      </c>
      <c r="B25" t="s">
        <v>226</v>
      </c>
      <c r="C25" t="s">
        <v>181</v>
      </c>
      <c r="D25" t="s">
        <v>182</v>
      </c>
      <c r="E25" t="s">
        <v>183</v>
      </c>
      <c r="F25" t="s">
        <v>184</v>
      </c>
      <c r="G25">
        <v>3000</v>
      </c>
      <c r="H25" s="6">
        <v>45051</v>
      </c>
      <c r="I25" t="s">
        <v>33</v>
      </c>
    </row>
    <row r="26" spans="1:9" ht="15" customHeight="1" x14ac:dyDescent="0.2">
      <c r="A26" s="15">
        <v>45047</v>
      </c>
      <c r="B26" t="s">
        <v>227</v>
      </c>
      <c r="C26" t="s">
        <v>186</v>
      </c>
      <c r="D26" t="s">
        <v>182</v>
      </c>
      <c r="E26" t="s">
        <v>187</v>
      </c>
      <c r="F26" t="s">
        <v>188</v>
      </c>
      <c r="G26">
        <v>12000</v>
      </c>
      <c r="H26" s="6">
        <v>45048</v>
      </c>
      <c r="I26" t="s">
        <v>33</v>
      </c>
    </row>
    <row r="27" spans="1:9" ht="15" customHeight="1" x14ac:dyDescent="0.2">
      <c r="A27" s="15">
        <v>45047</v>
      </c>
      <c r="B27" t="s">
        <v>228</v>
      </c>
      <c r="C27" t="s">
        <v>190</v>
      </c>
      <c r="D27" t="s">
        <v>182</v>
      </c>
      <c r="E27" t="s">
        <v>191</v>
      </c>
      <c r="F27" t="s">
        <v>192</v>
      </c>
      <c r="G27">
        <v>800</v>
      </c>
      <c r="H27" s="6">
        <v>45047</v>
      </c>
      <c r="I27" t="s">
        <v>33</v>
      </c>
    </row>
    <row r="28" spans="1:9" ht="15" customHeight="1" x14ac:dyDescent="0.2">
      <c r="A28" s="15">
        <v>45056</v>
      </c>
      <c r="B28" t="s">
        <v>229</v>
      </c>
      <c r="C28" t="s">
        <v>194</v>
      </c>
      <c r="D28" t="s">
        <v>195</v>
      </c>
      <c r="E28" t="s">
        <v>196</v>
      </c>
      <c r="F28" t="s">
        <v>197</v>
      </c>
      <c r="G28">
        <v>4851</v>
      </c>
      <c r="H28" s="6">
        <v>45058</v>
      </c>
      <c r="I28" t="s">
        <v>33</v>
      </c>
    </row>
    <row r="29" spans="1:9" ht="15" customHeight="1" x14ac:dyDescent="0.2">
      <c r="A29" s="15">
        <v>45078</v>
      </c>
      <c r="B29" t="s">
        <v>230</v>
      </c>
      <c r="C29" t="s">
        <v>181</v>
      </c>
      <c r="D29" t="s">
        <v>182</v>
      </c>
      <c r="E29" t="s">
        <v>183</v>
      </c>
      <c r="F29" t="s">
        <v>184</v>
      </c>
      <c r="G29">
        <v>3000</v>
      </c>
      <c r="H29" s="6">
        <v>45080</v>
      </c>
      <c r="I29" t="s">
        <v>33</v>
      </c>
    </row>
    <row r="30" spans="1:9" ht="15" customHeight="1" x14ac:dyDescent="0.2">
      <c r="A30" s="15">
        <v>45078</v>
      </c>
      <c r="B30" t="s">
        <v>231</v>
      </c>
      <c r="C30" t="s">
        <v>186</v>
      </c>
      <c r="D30" t="s">
        <v>182</v>
      </c>
      <c r="E30" t="s">
        <v>187</v>
      </c>
      <c r="F30" t="s">
        <v>188</v>
      </c>
      <c r="G30">
        <v>12000</v>
      </c>
      <c r="H30" s="6">
        <v>45082</v>
      </c>
      <c r="I30" t="s">
        <v>33</v>
      </c>
    </row>
    <row r="31" spans="1:9" ht="15" customHeight="1" x14ac:dyDescent="0.2">
      <c r="A31" s="15">
        <v>45078</v>
      </c>
      <c r="B31" t="s">
        <v>232</v>
      </c>
      <c r="C31" t="s">
        <v>190</v>
      </c>
      <c r="D31" t="s">
        <v>182</v>
      </c>
      <c r="E31" t="s">
        <v>191</v>
      </c>
      <c r="F31" t="s">
        <v>192</v>
      </c>
      <c r="G31">
        <v>800</v>
      </c>
      <c r="H31" s="6">
        <v>45083</v>
      </c>
      <c r="I31" t="s">
        <v>33</v>
      </c>
    </row>
    <row r="32" spans="1:9" ht="15" customHeight="1" x14ac:dyDescent="0.2">
      <c r="A32" s="15">
        <v>45092</v>
      </c>
      <c r="B32" t="s">
        <v>233</v>
      </c>
      <c r="C32" t="s">
        <v>222</v>
      </c>
      <c r="D32" t="s">
        <v>195</v>
      </c>
      <c r="E32" t="s">
        <v>223</v>
      </c>
      <c r="F32" t="s">
        <v>224</v>
      </c>
      <c r="G32">
        <v>895</v>
      </c>
      <c r="H32" s="6">
        <v>45093</v>
      </c>
      <c r="I32" t="s">
        <v>33</v>
      </c>
    </row>
    <row r="33" spans="1:9" ht="15" customHeight="1" x14ac:dyDescent="0.2">
      <c r="A33" s="15">
        <v>45108</v>
      </c>
      <c r="B33" t="s">
        <v>234</v>
      </c>
      <c r="C33" t="s">
        <v>181</v>
      </c>
      <c r="D33" t="s">
        <v>182</v>
      </c>
      <c r="E33" t="s">
        <v>183</v>
      </c>
      <c r="F33" t="s">
        <v>184</v>
      </c>
      <c r="G33">
        <v>3000</v>
      </c>
      <c r="H33" s="6">
        <v>45112</v>
      </c>
      <c r="I33" t="s">
        <v>33</v>
      </c>
    </row>
    <row r="34" spans="1:9" ht="15" customHeight="1" x14ac:dyDescent="0.2">
      <c r="A34" s="15">
        <v>45108</v>
      </c>
      <c r="B34" t="s">
        <v>235</v>
      </c>
      <c r="C34" t="s">
        <v>186</v>
      </c>
      <c r="D34" t="s">
        <v>182</v>
      </c>
      <c r="E34" t="s">
        <v>187</v>
      </c>
      <c r="F34" t="s">
        <v>188</v>
      </c>
      <c r="G34">
        <v>12000</v>
      </c>
      <c r="H34" s="6">
        <v>45108</v>
      </c>
      <c r="I34" t="s">
        <v>33</v>
      </c>
    </row>
    <row r="35" spans="1:9" ht="15" customHeight="1" x14ac:dyDescent="0.2">
      <c r="A35" s="15">
        <v>45108</v>
      </c>
      <c r="B35" t="s">
        <v>236</v>
      </c>
      <c r="C35" t="s">
        <v>190</v>
      </c>
      <c r="D35" t="s">
        <v>182</v>
      </c>
      <c r="E35" t="s">
        <v>191</v>
      </c>
      <c r="F35" t="s">
        <v>192</v>
      </c>
      <c r="G35">
        <v>800</v>
      </c>
      <c r="H35" s="6">
        <v>45113</v>
      </c>
      <c r="I35" t="s">
        <v>33</v>
      </c>
    </row>
    <row r="36" spans="1:9" ht="15" customHeight="1" x14ac:dyDescent="0.2">
      <c r="A36" s="15">
        <v>45117</v>
      </c>
      <c r="B36" t="s">
        <v>237</v>
      </c>
      <c r="C36" t="s">
        <v>194</v>
      </c>
      <c r="D36" t="s">
        <v>195</v>
      </c>
      <c r="E36" t="s">
        <v>196</v>
      </c>
      <c r="F36" t="s">
        <v>197</v>
      </c>
      <c r="G36">
        <v>4628</v>
      </c>
      <c r="H36" s="6">
        <v>45117</v>
      </c>
      <c r="I36" t="s">
        <v>33</v>
      </c>
    </row>
    <row r="37" spans="1:9" ht="15" customHeight="1" x14ac:dyDescent="0.2">
      <c r="A37" s="15">
        <v>45121</v>
      </c>
      <c r="B37" t="s">
        <v>238</v>
      </c>
      <c r="C37" t="s">
        <v>194</v>
      </c>
      <c r="D37" t="s">
        <v>195</v>
      </c>
      <c r="E37" t="s">
        <v>196</v>
      </c>
      <c r="F37" t="s">
        <v>197</v>
      </c>
      <c r="G37">
        <v>2851</v>
      </c>
      <c r="H37" s="6">
        <v>45123</v>
      </c>
      <c r="I37" t="s">
        <v>33</v>
      </c>
    </row>
    <row r="38" spans="1:9" ht="15" customHeight="1" x14ac:dyDescent="0.2">
      <c r="A38" s="15">
        <v>45139</v>
      </c>
      <c r="B38" t="s">
        <v>239</v>
      </c>
      <c r="C38" t="s">
        <v>181</v>
      </c>
      <c r="D38" t="s">
        <v>182</v>
      </c>
      <c r="E38" t="s">
        <v>183</v>
      </c>
      <c r="F38" t="s">
        <v>184</v>
      </c>
      <c r="G38">
        <v>3000</v>
      </c>
      <c r="H38" s="6">
        <v>45143</v>
      </c>
      <c r="I38" t="s">
        <v>33</v>
      </c>
    </row>
    <row r="39" spans="1:9" ht="15" customHeight="1" x14ac:dyDescent="0.2">
      <c r="A39" s="15">
        <v>45139</v>
      </c>
      <c r="B39" t="s">
        <v>240</v>
      </c>
      <c r="C39" t="s">
        <v>186</v>
      </c>
      <c r="D39" t="s">
        <v>182</v>
      </c>
      <c r="E39" t="s">
        <v>187</v>
      </c>
      <c r="F39" t="s">
        <v>188</v>
      </c>
      <c r="G39">
        <v>12000</v>
      </c>
      <c r="H39" s="6">
        <v>45144</v>
      </c>
      <c r="I39" t="s">
        <v>33</v>
      </c>
    </row>
    <row r="40" spans="1:9" ht="15" customHeight="1" x14ac:dyDescent="0.2">
      <c r="A40" s="15">
        <v>45139</v>
      </c>
      <c r="B40" t="s">
        <v>241</v>
      </c>
      <c r="C40" t="s">
        <v>190</v>
      </c>
      <c r="D40" t="s">
        <v>182</v>
      </c>
      <c r="E40" t="s">
        <v>191</v>
      </c>
      <c r="F40" t="s">
        <v>192</v>
      </c>
      <c r="G40">
        <v>800</v>
      </c>
      <c r="H40" s="6">
        <v>45142</v>
      </c>
      <c r="I40" t="s">
        <v>33</v>
      </c>
    </row>
    <row r="41" spans="1:9" ht="15" customHeight="1" x14ac:dyDescent="0.2">
      <c r="A41" s="15">
        <v>45151</v>
      </c>
      <c r="B41" t="s">
        <v>242</v>
      </c>
      <c r="C41" t="s">
        <v>202</v>
      </c>
      <c r="D41" t="s">
        <v>195</v>
      </c>
      <c r="E41" t="s">
        <v>203</v>
      </c>
      <c r="F41" t="s">
        <v>204</v>
      </c>
      <c r="G41">
        <v>1416</v>
      </c>
      <c r="H41" s="6">
        <v>45151</v>
      </c>
      <c r="I41" t="s">
        <v>33</v>
      </c>
    </row>
    <row r="42" spans="1:9" ht="15" customHeight="1" x14ac:dyDescent="0.2">
      <c r="A42" s="15">
        <v>45145</v>
      </c>
      <c r="B42" t="s">
        <v>243</v>
      </c>
      <c r="C42" t="s">
        <v>211</v>
      </c>
      <c r="D42" t="s">
        <v>195</v>
      </c>
      <c r="E42" t="s">
        <v>212</v>
      </c>
      <c r="F42" t="s">
        <v>213</v>
      </c>
      <c r="G42">
        <v>852</v>
      </c>
      <c r="H42" s="6">
        <v>45148</v>
      </c>
      <c r="I42" t="s">
        <v>33</v>
      </c>
    </row>
    <row r="43" spans="1:9" ht="15" customHeight="1" x14ac:dyDescent="0.2">
      <c r="A43" s="15">
        <v>45170</v>
      </c>
      <c r="B43" t="s">
        <v>244</v>
      </c>
      <c r="C43" t="s">
        <v>181</v>
      </c>
      <c r="D43" t="s">
        <v>182</v>
      </c>
      <c r="E43" t="s">
        <v>183</v>
      </c>
      <c r="F43" t="s">
        <v>184</v>
      </c>
      <c r="G43">
        <v>3000</v>
      </c>
      <c r="H43" s="6">
        <v>45174</v>
      </c>
      <c r="I43" t="s">
        <v>33</v>
      </c>
    </row>
    <row r="44" spans="1:9" ht="15" customHeight="1" x14ac:dyDescent="0.2">
      <c r="A44" s="15">
        <v>45170</v>
      </c>
      <c r="B44" t="s">
        <v>245</v>
      </c>
      <c r="C44" t="s">
        <v>186</v>
      </c>
      <c r="D44" t="s">
        <v>182</v>
      </c>
      <c r="E44" t="s">
        <v>187</v>
      </c>
      <c r="F44" t="s">
        <v>188</v>
      </c>
      <c r="G44">
        <v>12000</v>
      </c>
      <c r="H44" s="6">
        <v>45170</v>
      </c>
      <c r="I44" t="s">
        <v>33</v>
      </c>
    </row>
    <row r="45" spans="1:9" ht="15" customHeight="1" x14ac:dyDescent="0.2">
      <c r="A45" s="15">
        <v>45170</v>
      </c>
      <c r="B45" t="s">
        <v>246</v>
      </c>
      <c r="C45" t="s">
        <v>190</v>
      </c>
      <c r="D45" t="s">
        <v>182</v>
      </c>
      <c r="E45" t="s">
        <v>191</v>
      </c>
      <c r="F45" t="s">
        <v>192</v>
      </c>
      <c r="G45">
        <v>800</v>
      </c>
      <c r="H45" s="6">
        <v>45172</v>
      </c>
      <c r="I45" t="s">
        <v>33</v>
      </c>
    </row>
    <row r="46" spans="1:9" ht="15" customHeight="1" x14ac:dyDescent="0.2">
      <c r="A46" s="15">
        <v>45177</v>
      </c>
      <c r="B46" t="s">
        <v>247</v>
      </c>
      <c r="C46" t="s">
        <v>222</v>
      </c>
      <c r="D46" t="s">
        <v>195</v>
      </c>
      <c r="E46" t="s">
        <v>223</v>
      </c>
      <c r="F46" t="s">
        <v>224</v>
      </c>
      <c r="G46">
        <v>2337</v>
      </c>
      <c r="H46" s="6">
        <v>45177</v>
      </c>
      <c r="I46" t="s">
        <v>33</v>
      </c>
    </row>
    <row r="47" spans="1:9" ht="15" customHeight="1" x14ac:dyDescent="0.2">
      <c r="A47" s="15">
        <v>45200</v>
      </c>
      <c r="B47" t="s">
        <v>248</v>
      </c>
      <c r="C47" t="s">
        <v>181</v>
      </c>
      <c r="D47" t="s">
        <v>182</v>
      </c>
      <c r="E47" t="s">
        <v>183</v>
      </c>
      <c r="F47" t="s">
        <v>184</v>
      </c>
      <c r="G47">
        <v>3000</v>
      </c>
      <c r="H47" s="6">
        <v>45204</v>
      </c>
      <c r="I47" t="s">
        <v>33</v>
      </c>
    </row>
    <row r="48" spans="1:9" ht="15" customHeight="1" x14ac:dyDescent="0.2">
      <c r="A48" s="15">
        <v>45200</v>
      </c>
      <c r="B48" t="s">
        <v>249</v>
      </c>
      <c r="C48" t="s">
        <v>186</v>
      </c>
      <c r="D48" t="s">
        <v>182</v>
      </c>
      <c r="E48" t="s">
        <v>187</v>
      </c>
      <c r="F48" t="s">
        <v>188</v>
      </c>
      <c r="G48">
        <v>12000</v>
      </c>
      <c r="H48" s="6">
        <v>45200</v>
      </c>
      <c r="I48" t="s">
        <v>33</v>
      </c>
    </row>
    <row r="49" spans="1:9" ht="15" customHeight="1" x14ac:dyDescent="0.2">
      <c r="A49" s="15">
        <v>45200</v>
      </c>
      <c r="B49" t="s">
        <v>250</v>
      </c>
      <c r="C49" t="s">
        <v>190</v>
      </c>
      <c r="D49" t="s">
        <v>182</v>
      </c>
      <c r="E49" t="s">
        <v>191</v>
      </c>
      <c r="F49" t="s">
        <v>192</v>
      </c>
      <c r="G49">
        <v>800</v>
      </c>
      <c r="H49" s="6">
        <v>45201</v>
      </c>
      <c r="I49" t="s">
        <v>33</v>
      </c>
    </row>
    <row r="50" spans="1:9" ht="15" customHeight="1" x14ac:dyDescent="0.2">
      <c r="A50" s="15">
        <v>45218</v>
      </c>
      <c r="B50" t="s">
        <v>251</v>
      </c>
      <c r="C50" t="s">
        <v>194</v>
      </c>
      <c r="D50" t="s">
        <v>195</v>
      </c>
      <c r="E50" t="s">
        <v>196</v>
      </c>
      <c r="F50" t="s">
        <v>197</v>
      </c>
      <c r="G50">
        <v>4714</v>
      </c>
      <c r="H50" s="6">
        <v>45221</v>
      </c>
      <c r="I50" t="s">
        <v>33</v>
      </c>
    </row>
    <row r="51" spans="1:9" ht="15" customHeight="1" x14ac:dyDescent="0.2">
      <c r="A51" s="15">
        <v>45231</v>
      </c>
      <c r="B51" t="s">
        <v>252</v>
      </c>
      <c r="C51" t="s">
        <v>181</v>
      </c>
      <c r="D51" t="s">
        <v>182</v>
      </c>
      <c r="E51" t="s">
        <v>183</v>
      </c>
      <c r="F51" t="s">
        <v>184</v>
      </c>
      <c r="G51">
        <v>3000</v>
      </c>
      <c r="H51" s="6">
        <v>45233</v>
      </c>
      <c r="I51" t="s">
        <v>33</v>
      </c>
    </row>
    <row r="52" spans="1:9" ht="15" customHeight="1" x14ac:dyDescent="0.2">
      <c r="A52" s="15">
        <v>45231</v>
      </c>
      <c r="B52" t="s">
        <v>253</v>
      </c>
      <c r="C52" t="s">
        <v>186</v>
      </c>
      <c r="D52" t="s">
        <v>182</v>
      </c>
      <c r="E52" t="s">
        <v>187</v>
      </c>
      <c r="F52" t="s">
        <v>188</v>
      </c>
      <c r="G52">
        <v>12000</v>
      </c>
      <c r="H52" s="6">
        <v>45234</v>
      </c>
      <c r="I52" t="s">
        <v>33</v>
      </c>
    </row>
    <row r="53" spans="1:9" ht="15" customHeight="1" x14ac:dyDescent="0.2">
      <c r="A53" s="15">
        <v>45231</v>
      </c>
      <c r="B53" t="s">
        <v>254</v>
      </c>
      <c r="C53" t="s">
        <v>190</v>
      </c>
      <c r="D53" t="s">
        <v>182</v>
      </c>
      <c r="E53" t="s">
        <v>191</v>
      </c>
      <c r="F53" t="s">
        <v>192</v>
      </c>
      <c r="G53">
        <v>800</v>
      </c>
      <c r="H53" s="6">
        <v>45235</v>
      </c>
      <c r="I53" t="s">
        <v>33</v>
      </c>
    </row>
    <row r="54" spans="1:9" ht="15" customHeight="1" x14ac:dyDescent="0.2">
      <c r="A54" s="15">
        <v>45249</v>
      </c>
      <c r="B54" t="s">
        <v>255</v>
      </c>
      <c r="C54" t="s">
        <v>202</v>
      </c>
      <c r="D54" t="s">
        <v>195</v>
      </c>
      <c r="E54" t="s">
        <v>203</v>
      </c>
      <c r="F54" t="s">
        <v>204</v>
      </c>
      <c r="G54">
        <v>1692</v>
      </c>
      <c r="H54" s="6">
        <v>45250</v>
      </c>
      <c r="I54" t="s">
        <v>33</v>
      </c>
    </row>
    <row r="55" spans="1:9" ht="15" customHeight="1" x14ac:dyDescent="0.2">
      <c r="A55" s="15">
        <v>45244</v>
      </c>
      <c r="B55" t="s">
        <v>256</v>
      </c>
      <c r="C55" t="s">
        <v>211</v>
      </c>
      <c r="D55" t="s">
        <v>195</v>
      </c>
      <c r="E55" t="s">
        <v>212</v>
      </c>
      <c r="F55" t="s">
        <v>213</v>
      </c>
      <c r="G55">
        <v>355</v>
      </c>
      <c r="H55" s="6">
        <v>45246</v>
      </c>
      <c r="I55" t="s">
        <v>33</v>
      </c>
    </row>
    <row r="56" spans="1:9" ht="15" customHeight="1" x14ac:dyDescent="0.2">
      <c r="A56" s="15">
        <v>45261</v>
      </c>
      <c r="B56" t="s">
        <v>257</v>
      </c>
      <c r="C56" t="s">
        <v>181</v>
      </c>
      <c r="D56" t="s">
        <v>182</v>
      </c>
      <c r="E56" t="s">
        <v>183</v>
      </c>
      <c r="F56" t="s">
        <v>184</v>
      </c>
      <c r="G56">
        <v>3000</v>
      </c>
      <c r="H56" s="6">
        <v>45262</v>
      </c>
      <c r="I56" t="s">
        <v>33</v>
      </c>
    </row>
    <row r="57" spans="1:9" ht="15" customHeight="1" x14ac:dyDescent="0.2">
      <c r="A57" s="15">
        <v>45261</v>
      </c>
      <c r="B57" t="s">
        <v>258</v>
      </c>
      <c r="C57" t="s">
        <v>186</v>
      </c>
      <c r="D57" t="s">
        <v>182</v>
      </c>
      <c r="E57" t="s">
        <v>187</v>
      </c>
      <c r="F57" t="s">
        <v>188</v>
      </c>
      <c r="G57">
        <v>12000</v>
      </c>
      <c r="H57" s="6">
        <v>45265</v>
      </c>
      <c r="I57" t="s">
        <v>33</v>
      </c>
    </row>
    <row r="58" spans="1:9" ht="15" customHeight="1" x14ac:dyDescent="0.2">
      <c r="A58" s="15">
        <v>45261</v>
      </c>
      <c r="B58" t="s">
        <v>259</v>
      </c>
      <c r="C58" t="s">
        <v>190</v>
      </c>
      <c r="D58" t="s">
        <v>182</v>
      </c>
      <c r="E58" t="s">
        <v>191</v>
      </c>
      <c r="F58" t="s">
        <v>192</v>
      </c>
      <c r="G58">
        <v>800</v>
      </c>
      <c r="H58" s="6">
        <v>45265</v>
      </c>
      <c r="I58" t="s">
        <v>33</v>
      </c>
    </row>
    <row r="59" spans="1:9" ht="15" customHeight="1" x14ac:dyDescent="0.2">
      <c r="A59" s="15">
        <v>45269</v>
      </c>
      <c r="B59" t="s">
        <v>260</v>
      </c>
      <c r="C59" t="s">
        <v>211</v>
      </c>
      <c r="D59" t="s">
        <v>195</v>
      </c>
      <c r="E59" t="s">
        <v>212</v>
      </c>
      <c r="F59" t="s">
        <v>213</v>
      </c>
      <c r="G59">
        <v>569</v>
      </c>
      <c r="H59" s="6">
        <v>45269</v>
      </c>
      <c r="I59" t="s">
        <v>33</v>
      </c>
    </row>
    <row r="60" spans="1:9" ht="15" customHeight="1" x14ac:dyDescent="0.2">
      <c r="A60" s="15">
        <v>45266</v>
      </c>
      <c r="B60" t="s">
        <v>261</v>
      </c>
      <c r="C60" t="s">
        <v>194</v>
      </c>
      <c r="D60" t="s">
        <v>195</v>
      </c>
      <c r="E60" t="s">
        <v>196</v>
      </c>
      <c r="F60" t="s">
        <v>197</v>
      </c>
      <c r="G60">
        <v>3586</v>
      </c>
      <c r="H60" s="6">
        <v>45266</v>
      </c>
      <c r="I60" t="s">
        <v>33</v>
      </c>
    </row>
    <row r="61" spans="1:9" ht="15" customHeight="1" x14ac:dyDescent="0.2">
      <c r="A61" s="15">
        <v>45292</v>
      </c>
      <c r="B61" t="s">
        <v>262</v>
      </c>
      <c r="C61" t="s">
        <v>181</v>
      </c>
      <c r="D61" t="s">
        <v>182</v>
      </c>
      <c r="E61" t="s">
        <v>183</v>
      </c>
      <c r="F61" t="s">
        <v>184</v>
      </c>
      <c r="G61">
        <v>3000</v>
      </c>
      <c r="H61" s="6">
        <v>45295</v>
      </c>
      <c r="I61" t="s">
        <v>33</v>
      </c>
    </row>
    <row r="62" spans="1:9" ht="15" customHeight="1" x14ac:dyDescent="0.2">
      <c r="A62" s="15">
        <v>45292</v>
      </c>
      <c r="B62" t="s">
        <v>263</v>
      </c>
      <c r="C62" t="s">
        <v>186</v>
      </c>
      <c r="D62" t="s">
        <v>182</v>
      </c>
      <c r="E62" t="s">
        <v>187</v>
      </c>
      <c r="F62" t="s">
        <v>188</v>
      </c>
      <c r="G62">
        <v>12000</v>
      </c>
      <c r="H62" s="6">
        <v>45297</v>
      </c>
      <c r="I62" t="s">
        <v>33</v>
      </c>
    </row>
    <row r="63" spans="1:9" ht="15" customHeight="1" x14ac:dyDescent="0.2">
      <c r="A63" s="15">
        <v>45292</v>
      </c>
      <c r="B63" t="s">
        <v>264</v>
      </c>
      <c r="C63" t="s">
        <v>190</v>
      </c>
      <c r="D63" t="s">
        <v>182</v>
      </c>
      <c r="E63" t="s">
        <v>191</v>
      </c>
      <c r="F63" t="s">
        <v>192</v>
      </c>
      <c r="G63">
        <v>800</v>
      </c>
      <c r="H63" s="6">
        <v>45295</v>
      </c>
      <c r="I63" t="s">
        <v>33</v>
      </c>
    </row>
    <row r="64" spans="1:9" ht="15" customHeight="1" x14ac:dyDescent="0.2">
      <c r="A64" s="15">
        <v>45306</v>
      </c>
      <c r="B64" t="s">
        <v>265</v>
      </c>
      <c r="C64" t="s">
        <v>222</v>
      </c>
      <c r="D64" t="s">
        <v>195</v>
      </c>
      <c r="E64" t="s">
        <v>223</v>
      </c>
      <c r="F64" t="s">
        <v>224</v>
      </c>
      <c r="G64">
        <v>2300</v>
      </c>
      <c r="H64" s="6">
        <v>45308</v>
      </c>
      <c r="I64" t="s">
        <v>33</v>
      </c>
    </row>
    <row r="65" spans="1:9" ht="15" customHeight="1" x14ac:dyDescent="0.2">
      <c r="A65" s="15">
        <v>45323</v>
      </c>
      <c r="B65" t="s">
        <v>266</v>
      </c>
      <c r="C65" t="s">
        <v>181</v>
      </c>
      <c r="D65" t="s">
        <v>182</v>
      </c>
      <c r="E65" t="s">
        <v>183</v>
      </c>
      <c r="F65" t="s">
        <v>184</v>
      </c>
      <c r="G65">
        <v>3000</v>
      </c>
      <c r="H65" s="6">
        <v>45323</v>
      </c>
      <c r="I65" t="s">
        <v>33</v>
      </c>
    </row>
    <row r="66" spans="1:9" ht="15" customHeight="1" x14ac:dyDescent="0.2">
      <c r="A66" s="15">
        <v>45323</v>
      </c>
      <c r="B66" t="s">
        <v>267</v>
      </c>
      <c r="C66" t="s">
        <v>186</v>
      </c>
      <c r="D66" t="s">
        <v>182</v>
      </c>
      <c r="E66" t="s">
        <v>187</v>
      </c>
      <c r="F66" t="s">
        <v>188</v>
      </c>
      <c r="G66">
        <v>12000</v>
      </c>
      <c r="H66" s="6">
        <v>45326</v>
      </c>
      <c r="I66" t="s">
        <v>33</v>
      </c>
    </row>
    <row r="67" spans="1:9" ht="15" customHeight="1" x14ac:dyDescent="0.2">
      <c r="A67" s="15">
        <v>45323</v>
      </c>
      <c r="B67" t="s">
        <v>268</v>
      </c>
      <c r="C67" t="s">
        <v>190</v>
      </c>
      <c r="D67" t="s">
        <v>182</v>
      </c>
      <c r="E67" t="s">
        <v>191</v>
      </c>
      <c r="F67" t="s">
        <v>192</v>
      </c>
      <c r="G67">
        <v>800</v>
      </c>
      <c r="H67" s="6">
        <v>45325</v>
      </c>
      <c r="I67" t="s">
        <v>33</v>
      </c>
    </row>
    <row r="68" spans="1:9" ht="15" customHeight="1" x14ac:dyDescent="0.2">
      <c r="A68" s="15">
        <v>45333</v>
      </c>
      <c r="B68" t="s">
        <v>269</v>
      </c>
      <c r="C68" t="s">
        <v>194</v>
      </c>
      <c r="D68" t="s">
        <v>195</v>
      </c>
      <c r="E68" t="s">
        <v>196</v>
      </c>
      <c r="F68" t="s">
        <v>197</v>
      </c>
      <c r="G68">
        <v>3002</v>
      </c>
      <c r="H68" s="6">
        <v>45336</v>
      </c>
      <c r="I68" t="s">
        <v>33</v>
      </c>
    </row>
    <row r="69" spans="1:9" ht="15" customHeight="1" x14ac:dyDescent="0.2">
      <c r="A69" s="15">
        <v>45352</v>
      </c>
      <c r="B69" t="s">
        <v>270</v>
      </c>
      <c r="C69" t="s">
        <v>181</v>
      </c>
      <c r="D69" t="s">
        <v>182</v>
      </c>
      <c r="E69" t="s">
        <v>183</v>
      </c>
      <c r="F69" t="s">
        <v>184</v>
      </c>
      <c r="G69">
        <v>3000</v>
      </c>
      <c r="H69" s="6">
        <v>45354</v>
      </c>
      <c r="I69" t="s">
        <v>33</v>
      </c>
    </row>
    <row r="70" spans="1:9" ht="15" customHeight="1" x14ac:dyDescent="0.2">
      <c r="A70" s="15">
        <v>45352</v>
      </c>
      <c r="B70" t="s">
        <v>271</v>
      </c>
      <c r="C70" t="s">
        <v>186</v>
      </c>
      <c r="D70" t="s">
        <v>182</v>
      </c>
      <c r="E70" t="s">
        <v>187</v>
      </c>
      <c r="F70" t="s">
        <v>188</v>
      </c>
      <c r="G70">
        <v>12000</v>
      </c>
      <c r="H70" s="6">
        <v>45354</v>
      </c>
      <c r="I70" t="s">
        <v>33</v>
      </c>
    </row>
    <row r="71" spans="1:9" ht="15" customHeight="1" x14ac:dyDescent="0.2">
      <c r="A71" s="15">
        <v>45352</v>
      </c>
      <c r="B71" t="s">
        <v>272</v>
      </c>
      <c r="C71" t="s">
        <v>190</v>
      </c>
      <c r="D71" t="s">
        <v>182</v>
      </c>
      <c r="E71" t="s">
        <v>191</v>
      </c>
      <c r="F71" t="s">
        <v>192</v>
      </c>
      <c r="G71">
        <v>800</v>
      </c>
      <c r="H71" s="6">
        <v>45353</v>
      </c>
      <c r="I71" t="s">
        <v>33</v>
      </c>
    </row>
    <row r="72" spans="1:9" ht="15" customHeight="1" x14ac:dyDescent="0.2">
      <c r="A72" s="15">
        <v>45364</v>
      </c>
      <c r="B72" t="s">
        <v>273</v>
      </c>
      <c r="C72" t="s">
        <v>202</v>
      </c>
      <c r="D72" t="s">
        <v>195</v>
      </c>
      <c r="E72" t="s">
        <v>203</v>
      </c>
      <c r="F72" t="s">
        <v>204</v>
      </c>
      <c r="G72">
        <v>1106</v>
      </c>
      <c r="H72" s="6">
        <v>45365</v>
      </c>
      <c r="I72" t="s">
        <v>33</v>
      </c>
    </row>
    <row r="73" spans="1:9" ht="15" customHeight="1" x14ac:dyDescent="0.2">
      <c r="A73" s="15">
        <v>45383</v>
      </c>
      <c r="B73" t="s">
        <v>274</v>
      </c>
      <c r="C73" t="s">
        <v>181</v>
      </c>
      <c r="D73" t="s">
        <v>182</v>
      </c>
      <c r="E73" t="s">
        <v>183</v>
      </c>
      <c r="F73" t="s">
        <v>184</v>
      </c>
      <c r="G73">
        <v>3000</v>
      </c>
      <c r="H73" s="6">
        <v>45386</v>
      </c>
      <c r="I73" t="s">
        <v>33</v>
      </c>
    </row>
    <row r="74" spans="1:9" ht="15" customHeight="1" x14ac:dyDescent="0.2">
      <c r="A74" s="15">
        <v>45383</v>
      </c>
      <c r="B74" t="s">
        <v>275</v>
      </c>
      <c r="C74" t="s">
        <v>186</v>
      </c>
      <c r="D74" t="s">
        <v>182</v>
      </c>
      <c r="E74" t="s">
        <v>187</v>
      </c>
      <c r="F74" t="s">
        <v>188</v>
      </c>
      <c r="G74">
        <v>12000</v>
      </c>
      <c r="H74" s="6">
        <v>45385</v>
      </c>
      <c r="I74" t="s">
        <v>33</v>
      </c>
    </row>
    <row r="75" spans="1:9" ht="15" customHeight="1" x14ac:dyDescent="0.2">
      <c r="A75" s="15">
        <v>45383</v>
      </c>
      <c r="B75" t="s">
        <v>276</v>
      </c>
      <c r="C75" t="s">
        <v>190</v>
      </c>
      <c r="D75" t="s">
        <v>182</v>
      </c>
      <c r="E75" t="s">
        <v>191</v>
      </c>
      <c r="F75" t="s">
        <v>192</v>
      </c>
      <c r="G75">
        <v>800</v>
      </c>
      <c r="H75" s="6">
        <v>45384</v>
      </c>
      <c r="I75" t="s">
        <v>33</v>
      </c>
    </row>
    <row r="76" spans="1:9" ht="15" customHeight="1" x14ac:dyDescent="0.2">
      <c r="A76" s="15">
        <v>45388</v>
      </c>
      <c r="B76" t="s">
        <v>277</v>
      </c>
      <c r="C76" t="s">
        <v>194</v>
      </c>
      <c r="D76" t="s">
        <v>195</v>
      </c>
      <c r="E76" t="s">
        <v>196</v>
      </c>
      <c r="F76" t="s">
        <v>197</v>
      </c>
      <c r="G76">
        <v>1517</v>
      </c>
      <c r="H76" s="6">
        <v>45389</v>
      </c>
      <c r="I76" t="s">
        <v>33</v>
      </c>
    </row>
    <row r="77" spans="1:9" ht="15" customHeight="1" x14ac:dyDescent="0.2">
      <c r="A77" s="15">
        <v>45387</v>
      </c>
      <c r="B77" t="s">
        <v>278</v>
      </c>
      <c r="C77" t="s">
        <v>202</v>
      </c>
      <c r="D77" t="s">
        <v>195</v>
      </c>
      <c r="E77" t="s">
        <v>203</v>
      </c>
      <c r="F77" t="s">
        <v>204</v>
      </c>
      <c r="G77">
        <v>1431</v>
      </c>
      <c r="H77" s="6">
        <v>45387</v>
      </c>
      <c r="I77" t="s">
        <v>33</v>
      </c>
    </row>
    <row r="78" spans="1:9" ht="15" customHeight="1" x14ac:dyDescent="0.2">
      <c r="A78" s="15">
        <v>45413</v>
      </c>
      <c r="B78" t="s">
        <v>279</v>
      </c>
      <c r="C78" t="s">
        <v>181</v>
      </c>
      <c r="D78" t="s">
        <v>182</v>
      </c>
      <c r="E78" t="s">
        <v>183</v>
      </c>
      <c r="F78" t="s">
        <v>184</v>
      </c>
      <c r="G78">
        <v>3000</v>
      </c>
      <c r="H78" s="6">
        <v>45416</v>
      </c>
      <c r="I78" t="s">
        <v>33</v>
      </c>
    </row>
    <row r="79" spans="1:9" ht="15" customHeight="1" x14ac:dyDescent="0.2">
      <c r="A79" s="15">
        <v>45413</v>
      </c>
      <c r="B79" t="s">
        <v>280</v>
      </c>
      <c r="C79" t="s">
        <v>186</v>
      </c>
      <c r="D79" t="s">
        <v>182</v>
      </c>
      <c r="E79" t="s">
        <v>187</v>
      </c>
      <c r="F79" t="s">
        <v>188</v>
      </c>
      <c r="G79">
        <v>12000</v>
      </c>
      <c r="H79" s="6">
        <v>45416</v>
      </c>
      <c r="I79" t="s">
        <v>33</v>
      </c>
    </row>
    <row r="80" spans="1:9" ht="15" customHeight="1" x14ac:dyDescent="0.2">
      <c r="A80" s="15">
        <v>45413</v>
      </c>
      <c r="B80" t="s">
        <v>281</v>
      </c>
      <c r="C80" t="s">
        <v>190</v>
      </c>
      <c r="D80" t="s">
        <v>182</v>
      </c>
      <c r="E80" t="s">
        <v>191</v>
      </c>
      <c r="F80" t="s">
        <v>192</v>
      </c>
      <c r="G80">
        <v>800</v>
      </c>
      <c r="H80" s="6">
        <v>45413</v>
      </c>
      <c r="I80" t="s">
        <v>33</v>
      </c>
    </row>
    <row r="81" spans="1:9" ht="15" customHeight="1" x14ac:dyDescent="0.2">
      <c r="A81" s="15">
        <v>45422</v>
      </c>
      <c r="B81" t="s">
        <v>282</v>
      </c>
      <c r="C81" t="s">
        <v>194</v>
      </c>
      <c r="D81" t="s">
        <v>195</v>
      </c>
      <c r="E81" t="s">
        <v>196</v>
      </c>
      <c r="F81" t="s">
        <v>197</v>
      </c>
      <c r="G81">
        <v>3893</v>
      </c>
      <c r="H81" s="6">
        <v>45424</v>
      </c>
      <c r="I81" t="s">
        <v>33</v>
      </c>
    </row>
    <row r="82" spans="1:9" ht="15" customHeight="1" x14ac:dyDescent="0.2">
      <c r="A82" s="15">
        <v>45431</v>
      </c>
      <c r="B82" t="s">
        <v>283</v>
      </c>
      <c r="C82" t="s">
        <v>211</v>
      </c>
      <c r="D82" t="s">
        <v>195</v>
      </c>
      <c r="E82" t="s">
        <v>212</v>
      </c>
      <c r="F82" t="s">
        <v>213</v>
      </c>
      <c r="G82">
        <v>817</v>
      </c>
      <c r="H82" s="6">
        <v>45432</v>
      </c>
      <c r="I82" t="s">
        <v>33</v>
      </c>
    </row>
    <row r="83" spans="1:9" ht="15" customHeight="1" x14ac:dyDescent="0.2">
      <c r="A83" s="15">
        <v>45444</v>
      </c>
      <c r="B83" t="s">
        <v>284</v>
      </c>
      <c r="C83" t="s">
        <v>181</v>
      </c>
      <c r="D83" t="s">
        <v>182</v>
      </c>
      <c r="E83" t="s">
        <v>183</v>
      </c>
      <c r="F83" t="s">
        <v>184</v>
      </c>
      <c r="G83">
        <v>3000</v>
      </c>
      <c r="H83" s="6">
        <v>45445</v>
      </c>
      <c r="I83" t="s">
        <v>33</v>
      </c>
    </row>
    <row r="84" spans="1:9" ht="15" customHeight="1" x14ac:dyDescent="0.2">
      <c r="A84" s="15">
        <v>45444</v>
      </c>
      <c r="B84" t="s">
        <v>285</v>
      </c>
      <c r="C84" t="s">
        <v>186</v>
      </c>
      <c r="D84" t="s">
        <v>182</v>
      </c>
      <c r="E84" t="s">
        <v>187</v>
      </c>
      <c r="F84" t="s">
        <v>188</v>
      </c>
      <c r="G84">
        <v>12000</v>
      </c>
      <c r="H84" s="6">
        <v>45446</v>
      </c>
      <c r="I84" t="s">
        <v>33</v>
      </c>
    </row>
    <row r="85" spans="1:9" ht="15" customHeight="1" x14ac:dyDescent="0.2">
      <c r="A85" s="15">
        <v>45444</v>
      </c>
      <c r="B85" t="s">
        <v>286</v>
      </c>
      <c r="C85" t="s">
        <v>190</v>
      </c>
      <c r="D85" t="s">
        <v>182</v>
      </c>
      <c r="E85" t="s">
        <v>191</v>
      </c>
      <c r="F85" t="s">
        <v>192</v>
      </c>
      <c r="G85">
        <v>800</v>
      </c>
      <c r="H85" s="6">
        <v>45446</v>
      </c>
      <c r="I85" t="s">
        <v>33</v>
      </c>
    </row>
    <row r="86" spans="1:9" ht="15" customHeight="1" x14ac:dyDescent="0.2">
      <c r="A86" s="15">
        <v>45463</v>
      </c>
      <c r="B86" t="s">
        <v>287</v>
      </c>
      <c r="C86" t="s">
        <v>211</v>
      </c>
      <c r="D86" t="s">
        <v>195</v>
      </c>
      <c r="E86" t="s">
        <v>212</v>
      </c>
      <c r="F86" t="s">
        <v>213</v>
      </c>
      <c r="G86">
        <v>969</v>
      </c>
      <c r="H86" s="6">
        <v>45464</v>
      </c>
      <c r="I86" t="s">
        <v>33</v>
      </c>
    </row>
    <row r="87" spans="1:9" ht="15" customHeight="1" x14ac:dyDescent="0.2">
      <c r="A87" s="15">
        <v>45474</v>
      </c>
      <c r="B87" t="s">
        <v>288</v>
      </c>
      <c r="C87" t="s">
        <v>181</v>
      </c>
      <c r="D87" t="s">
        <v>182</v>
      </c>
      <c r="E87" t="s">
        <v>183</v>
      </c>
      <c r="F87" t="s">
        <v>184</v>
      </c>
      <c r="G87">
        <v>3000</v>
      </c>
      <c r="H87" s="6">
        <v>45474</v>
      </c>
      <c r="I87" t="s">
        <v>33</v>
      </c>
    </row>
    <row r="88" spans="1:9" ht="15" customHeight="1" x14ac:dyDescent="0.2">
      <c r="A88" s="15">
        <v>45474</v>
      </c>
      <c r="B88" t="s">
        <v>289</v>
      </c>
      <c r="C88" t="s">
        <v>186</v>
      </c>
      <c r="D88" t="s">
        <v>182</v>
      </c>
      <c r="E88" t="s">
        <v>187</v>
      </c>
      <c r="F88" t="s">
        <v>188</v>
      </c>
      <c r="G88">
        <v>12000</v>
      </c>
      <c r="H88" s="6">
        <v>45478</v>
      </c>
      <c r="I88" t="s">
        <v>33</v>
      </c>
    </row>
    <row r="89" spans="1:9" ht="15" customHeight="1" x14ac:dyDescent="0.2">
      <c r="A89" s="15">
        <v>45474</v>
      </c>
      <c r="B89" t="s">
        <v>290</v>
      </c>
      <c r="C89" t="s">
        <v>190</v>
      </c>
      <c r="D89" t="s">
        <v>182</v>
      </c>
      <c r="E89" t="s">
        <v>191</v>
      </c>
      <c r="F89" t="s">
        <v>192</v>
      </c>
      <c r="G89">
        <v>800</v>
      </c>
      <c r="H89" s="6">
        <v>45478</v>
      </c>
      <c r="I89" t="s">
        <v>33</v>
      </c>
    </row>
    <row r="90" spans="1:9" ht="15" customHeight="1" x14ac:dyDescent="0.2">
      <c r="A90" s="15">
        <v>45490</v>
      </c>
      <c r="B90" t="s">
        <v>291</v>
      </c>
      <c r="C90" t="s">
        <v>222</v>
      </c>
      <c r="D90" t="s">
        <v>195</v>
      </c>
      <c r="E90" t="s">
        <v>223</v>
      </c>
      <c r="F90" t="s">
        <v>292</v>
      </c>
      <c r="G90">
        <v>20000</v>
      </c>
      <c r="H90" s="6">
        <v>45490</v>
      </c>
      <c r="I90" t="s">
        <v>33</v>
      </c>
    </row>
    <row r="91" spans="1:9" ht="15" customHeight="1" x14ac:dyDescent="0.2">
      <c r="A91" s="15">
        <v>45479</v>
      </c>
      <c r="B91" t="s">
        <v>293</v>
      </c>
      <c r="C91" t="s">
        <v>222</v>
      </c>
      <c r="D91" t="s">
        <v>195</v>
      </c>
      <c r="E91" t="s">
        <v>223</v>
      </c>
      <c r="F91" t="s">
        <v>292</v>
      </c>
      <c r="G91">
        <v>20000</v>
      </c>
      <c r="H91" s="6">
        <v>45479</v>
      </c>
      <c r="I91" t="s">
        <v>33</v>
      </c>
    </row>
    <row r="92" spans="1:9" ht="15" customHeight="1" x14ac:dyDescent="0.2">
      <c r="A92" s="15">
        <v>45505</v>
      </c>
      <c r="B92" t="s">
        <v>294</v>
      </c>
      <c r="C92" t="s">
        <v>181</v>
      </c>
      <c r="D92" t="s">
        <v>182</v>
      </c>
      <c r="E92" t="s">
        <v>183</v>
      </c>
      <c r="F92" t="s">
        <v>184</v>
      </c>
      <c r="G92">
        <v>3000</v>
      </c>
      <c r="H92" s="6">
        <v>45507</v>
      </c>
      <c r="I92" t="s">
        <v>33</v>
      </c>
    </row>
    <row r="93" spans="1:9" ht="15" customHeight="1" x14ac:dyDescent="0.2">
      <c r="A93" s="15">
        <v>45505</v>
      </c>
      <c r="B93" t="s">
        <v>295</v>
      </c>
      <c r="C93" t="s">
        <v>186</v>
      </c>
      <c r="D93" t="s">
        <v>182</v>
      </c>
      <c r="E93" t="s">
        <v>187</v>
      </c>
      <c r="F93" t="s">
        <v>188</v>
      </c>
      <c r="G93">
        <v>12000</v>
      </c>
      <c r="H93" s="6">
        <v>45510</v>
      </c>
      <c r="I93" t="s">
        <v>33</v>
      </c>
    </row>
    <row r="94" spans="1:9" ht="15" customHeight="1" x14ac:dyDescent="0.2">
      <c r="A94" s="15">
        <v>45505</v>
      </c>
      <c r="B94" t="s">
        <v>296</v>
      </c>
      <c r="C94" t="s">
        <v>190</v>
      </c>
      <c r="D94" t="s">
        <v>182</v>
      </c>
      <c r="E94" t="s">
        <v>191</v>
      </c>
      <c r="F94" t="s">
        <v>192</v>
      </c>
      <c r="G94">
        <v>800</v>
      </c>
      <c r="H94" s="6">
        <v>45505</v>
      </c>
      <c r="I94" t="s">
        <v>33</v>
      </c>
    </row>
    <row r="95" spans="1:9" ht="15" customHeight="1" x14ac:dyDescent="0.2">
      <c r="A95" s="15">
        <v>45514</v>
      </c>
      <c r="B95" t="s">
        <v>297</v>
      </c>
      <c r="C95" t="s">
        <v>222</v>
      </c>
      <c r="D95" t="s">
        <v>195</v>
      </c>
      <c r="E95" t="s">
        <v>223</v>
      </c>
      <c r="F95" t="s">
        <v>224</v>
      </c>
      <c r="G95">
        <v>1110</v>
      </c>
      <c r="H95" s="6">
        <v>45517</v>
      </c>
      <c r="I95" t="s">
        <v>33</v>
      </c>
    </row>
    <row r="96" spans="1:9" ht="15" customHeight="1" x14ac:dyDescent="0.2">
      <c r="A96" s="15">
        <v>45536</v>
      </c>
      <c r="B96" t="s">
        <v>298</v>
      </c>
      <c r="C96" t="s">
        <v>181</v>
      </c>
      <c r="D96" t="s">
        <v>182</v>
      </c>
      <c r="E96" t="s">
        <v>183</v>
      </c>
      <c r="F96" t="s">
        <v>184</v>
      </c>
      <c r="G96">
        <v>3000</v>
      </c>
      <c r="H96" s="6">
        <v>45541</v>
      </c>
      <c r="I96" t="s">
        <v>33</v>
      </c>
    </row>
    <row r="97" spans="1:9" ht="15" customHeight="1" x14ac:dyDescent="0.2">
      <c r="A97" s="15">
        <v>45536</v>
      </c>
      <c r="B97" t="s">
        <v>299</v>
      </c>
      <c r="C97" t="s">
        <v>186</v>
      </c>
      <c r="D97" t="s">
        <v>182</v>
      </c>
      <c r="E97" t="s">
        <v>187</v>
      </c>
      <c r="F97" t="s">
        <v>188</v>
      </c>
      <c r="G97">
        <v>12000</v>
      </c>
      <c r="H97" s="6">
        <v>45541</v>
      </c>
      <c r="I97" t="s">
        <v>33</v>
      </c>
    </row>
    <row r="98" spans="1:9" ht="15" customHeight="1" x14ac:dyDescent="0.2">
      <c r="A98" s="15">
        <v>45536</v>
      </c>
      <c r="B98" t="s">
        <v>300</v>
      </c>
      <c r="C98" t="s">
        <v>190</v>
      </c>
      <c r="D98" t="s">
        <v>182</v>
      </c>
      <c r="E98" t="s">
        <v>191</v>
      </c>
      <c r="F98" t="s">
        <v>192</v>
      </c>
      <c r="G98">
        <v>800</v>
      </c>
      <c r="H98" s="6">
        <v>45540</v>
      </c>
      <c r="I98" t="s">
        <v>33</v>
      </c>
    </row>
    <row r="99" spans="1:9" ht="15" customHeight="1" x14ac:dyDescent="0.2">
      <c r="A99" s="15">
        <v>45559</v>
      </c>
      <c r="B99" t="s">
        <v>301</v>
      </c>
      <c r="C99" t="s">
        <v>211</v>
      </c>
      <c r="D99" t="s">
        <v>195</v>
      </c>
      <c r="E99" t="s">
        <v>212</v>
      </c>
      <c r="F99" t="s">
        <v>213</v>
      </c>
      <c r="G99">
        <v>984</v>
      </c>
      <c r="H99" s="6">
        <v>45559</v>
      </c>
      <c r="I99" t="s">
        <v>33</v>
      </c>
    </row>
    <row r="100" spans="1:9" ht="15" customHeight="1" x14ac:dyDescent="0.2">
      <c r="A100" s="15">
        <v>45566</v>
      </c>
      <c r="B100" t="s">
        <v>302</v>
      </c>
      <c r="C100" t="s">
        <v>181</v>
      </c>
      <c r="D100" t="s">
        <v>182</v>
      </c>
      <c r="E100" t="s">
        <v>183</v>
      </c>
      <c r="F100" t="s">
        <v>184</v>
      </c>
      <c r="G100">
        <v>3000</v>
      </c>
      <c r="H100" s="6">
        <v>45570</v>
      </c>
      <c r="I100" t="s">
        <v>33</v>
      </c>
    </row>
    <row r="101" spans="1:9" ht="15" customHeight="1" x14ac:dyDescent="0.2">
      <c r="A101" s="15">
        <v>45566</v>
      </c>
      <c r="B101" t="s">
        <v>303</v>
      </c>
      <c r="C101" t="s">
        <v>186</v>
      </c>
      <c r="D101" t="s">
        <v>182</v>
      </c>
      <c r="E101" t="s">
        <v>187</v>
      </c>
      <c r="F101" t="s">
        <v>188</v>
      </c>
      <c r="G101">
        <v>12000</v>
      </c>
      <c r="H101" s="6">
        <v>45568</v>
      </c>
      <c r="I101" t="s">
        <v>33</v>
      </c>
    </row>
    <row r="102" spans="1:9" ht="15" customHeight="1" x14ac:dyDescent="0.2">
      <c r="A102" s="15">
        <v>45566</v>
      </c>
      <c r="B102" t="s">
        <v>304</v>
      </c>
      <c r="C102" t="s">
        <v>190</v>
      </c>
      <c r="D102" t="s">
        <v>182</v>
      </c>
      <c r="E102" t="s">
        <v>191</v>
      </c>
      <c r="F102" t="s">
        <v>192</v>
      </c>
      <c r="G102">
        <v>800</v>
      </c>
      <c r="H102" s="6">
        <v>45570</v>
      </c>
      <c r="I102" t="s">
        <v>33</v>
      </c>
    </row>
    <row r="103" spans="1:9" ht="15" customHeight="1" x14ac:dyDescent="0.2">
      <c r="A103" s="15">
        <v>45574</v>
      </c>
      <c r="B103" t="s">
        <v>305</v>
      </c>
      <c r="C103" t="s">
        <v>211</v>
      </c>
      <c r="D103" t="s">
        <v>195</v>
      </c>
      <c r="E103" t="s">
        <v>212</v>
      </c>
      <c r="F103" t="s">
        <v>213</v>
      </c>
      <c r="G103">
        <v>379</v>
      </c>
      <c r="H103" s="6">
        <v>45576</v>
      </c>
      <c r="I103" t="s">
        <v>33</v>
      </c>
    </row>
    <row r="104" spans="1:9" ht="15" customHeight="1" x14ac:dyDescent="0.2">
      <c r="A104" s="15">
        <v>45597</v>
      </c>
      <c r="B104" t="s">
        <v>306</v>
      </c>
      <c r="C104" t="s">
        <v>181</v>
      </c>
      <c r="D104" t="s">
        <v>182</v>
      </c>
      <c r="E104" t="s">
        <v>183</v>
      </c>
      <c r="F104" t="s">
        <v>184</v>
      </c>
      <c r="G104">
        <v>3000</v>
      </c>
      <c r="H104" s="6">
        <v>45600</v>
      </c>
      <c r="I104" t="s">
        <v>33</v>
      </c>
    </row>
    <row r="105" spans="1:9" ht="15" customHeight="1" x14ac:dyDescent="0.2">
      <c r="A105" s="15">
        <v>45597</v>
      </c>
      <c r="B105" t="s">
        <v>307</v>
      </c>
      <c r="C105" t="s">
        <v>186</v>
      </c>
      <c r="D105" t="s">
        <v>182</v>
      </c>
      <c r="E105" t="s">
        <v>187</v>
      </c>
      <c r="F105" t="s">
        <v>188</v>
      </c>
      <c r="G105">
        <v>12000</v>
      </c>
      <c r="H105" s="6">
        <v>45599</v>
      </c>
      <c r="I105" t="s">
        <v>33</v>
      </c>
    </row>
    <row r="106" spans="1:9" ht="15" customHeight="1" x14ac:dyDescent="0.2">
      <c r="A106" s="15">
        <v>45597</v>
      </c>
      <c r="B106" t="s">
        <v>308</v>
      </c>
      <c r="C106" t="s">
        <v>190</v>
      </c>
      <c r="D106" t="s">
        <v>182</v>
      </c>
      <c r="E106" t="s">
        <v>191</v>
      </c>
      <c r="F106" t="s">
        <v>192</v>
      </c>
      <c r="G106">
        <v>800</v>
      </c>
      <c r="H106" s="6">
        <v>45598</v>
      </c>
      <c r="I106" t="s">
        <v>33</v>
      </c>
    </row>
    <row r="107" spans="1:9" ht="15" customHeight="1" x14ac:dyDescent="0.2">
      <c r="A107" s="15">
        <v>45606</v>
      </c>
      <c r="B107" t="s">
        <v>309</v>
      </c>
      <c r="C107" t="s">
        <v>194</v>
      </c>
      <c r="D107" t="s">
        <v>195</v>
      </c>
      <c r="E107" t="s">
        <v>196</v>
      </c>
      <c r="F107" t="s">
        <v>197</v>
      </c>
      <c r="G107">
        <v>3011</v>
      </c>
      <c r="H107" s="6">
        <v>45606</v>
      </c>
      <c r="I107" t="s">
        <v>33</v>
      </c>
    </row>
    <row r="108" spans="1:9" ht="15" customHeight="1" x14ac:dyDescent="0.2">
      <c r="A108" s="15">
        <v>45606</v>
      </c>
      <c r="B108" t="s">
        <v>310</v>
      </c>
      <c r="C108" t="s">
        <v>194</v>
      </c>
      <c r="D108" t="s">
        <v>195</v>
      </c>
      <c r="E108" t="s">
        <v>196</v>
      </c>
      <c r="F108" t="s">
        <v>197</v>
      </c>
      <c r="G108">
        <v>3923</v>
      </c>
      <c r="H108" s="6">
        <v>45608</v>
      </c>
      <c r="I108" t="s">
        <v>33</v>
      </c>
    </row>
  </sheetData>
  <autoFilter ref="A1:I10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zoomScaleNormal="100" workbookViewId="0">
      <selection activeCell="A3" sqref="A3"/>
    </sheetView>
  </sheetViews>
  <sheetFormatPr baseColWidth="10" defaultColWidth="8.6640625" defaultRowHeight="15" x14ac:dyDescent="0.2"/>
  <cols>
    <col min="1" max="6" width="18" customWidth="1"/>
  </cols>
  <sheetData>
    <row r="1" spans="1:6" ht="15" customHeight="1" x14ac:dyDescent="0.2">
      <c r="A1" s="8" t="s">
        <v>311</v>
      </c>
      <c r="B1" s="8" t="s">
        <v>312</v>
      </c>
      <c r="C1" s="8" t="s">
        <v>313</v>
      </c>
      <c r="D1" s="8" t="s">
        <v>314</v>
      </c>
      <c r="E1" s="8" t="s">
        <v>315</v>
      </c>
      <c r="F1" s="8" t="s">
        <v>316</v>
      </c>
    </row>
    <row r="2" spans="1:6" ht="15" customHeight="1" x14ac:dyDescent="0.2">
      <c r="A2" s="9" t="s">
        <v>317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zoomScaleNormal="100" workbookViewId="0">
      <selection activeCell="B7" sqref="B7"/>
    </sheetView>
  </sheetViews>
  <sheetFormatPr baseColWidth="10" defaultColWidth="8.6640625" defaultRowHeight="15" x14ac:dyDescent="0.2"/>
  <cols>
    <col min="1" max="1" width="20" customWidth="1"/>
    <col min="2" max="2" width="40" customWidth="1"/>
    <col min="3" max="3" width="35" customWidth="1"/>
    <col min="4" max="4" width="36.5" customWidth="1"/>
  </cols>
  <sheetData>
    <row r="1" spans="1:4" ht="17.25" customHeight="1" x14ac:dyDescent="0.2">
      <c r="A1" s="17" t="s">
        <v>318</v>
      </c>
      <c r="B1" s="17"/>
      <c r="C1" s="17"/>
      <c r="D1" s="17"/>
    </row>
    <row r="3" spans="1:4" ht="15" customHeight="1" x14ac:dyDescent="0.2">
      <c r="A3" s="10" t="s">
        <v>319</v>
      </c>
      <c r="B3" s="10" t="s">
        <v>1</v>
      </c>
      <c r="C3" s="10" t="s">
        <v>320</v>
      </c>
    </row>
    <row r="4" spans="1:4" ht="15" customHeight="1" x14ac:dyDescent="0.2">
      <c r="A4" s="11" t="s">
        <v>321</v>
      </c>
      <c r="B4" s="12">
        <f>SUMIF(Ventes!G:G,"&gt;0")</f>
        <v>2079000</v>
      </c>
      <c r="C4" t="str">
        <f>Parametres!B2</f>
        <v>MAD</v>
      </c>
      <c r="D4" t="s">
        <v>322</v>
      </c>
    </row>
    <row r="5" spans="1:4" ht="15" customHeight="1" x14ac:dyDescent="0.2">
      <c r="A5" s="11" t="s">
        <v>323</v>
      </c>
      <c r="B5" s="12">
        <f>SUMIFS(Depenses!G:G,Depenses!D:D,"Variable")</f>
        <v>109083</v>
      </c>
      <c r="C5" t="str">
        <f>Parametres!B2</f>
        <v>MAD</v>
      </c>
      <c r="D5" t="s">
        <v>324</v>
      </c>
    </row>
    <row r="6" spans="1:4" ht="15" customHeight="1" x14ac:dyDescent="0.2">
      <c r="A6" s="11" t="s">
        <v>325</v>
      </c>
      <c r="B6" s="12">
        <f>SUMIFS(Depenses!G:G,Depenses!D:D,"Fixe")</f>
        <v>379200</v>
      </c>
      <c r="C6" t="str">
        <f>Parametres!B2</f>
        <v>MAD</v>
      </c>
      <c r="D6" t="s">
        <v>326</v>
      </c>
    </row>
    <row r="7" spans="1:4" ht="15" customHeight="1" x14ac:dyDescent="0.2">
      <c r="A7" s="11" t="s">
        <v>327</v>
      </c>
      <c r="B7" s="12">
        <f>B4-B5</f>
        <v>1969917</v>
      </c>
      <c r="C7" t="str">
        <f>Parametres!B2</f>
        <v>MAD</v>
      </c>
      <c r="D7" t="s">
        <v>328</v>
      </c>
    </row>
    <row r="8" spans="1:4" ht="15" customHeight="1" x14ac:dyDescent="0.2">
      <c r="A8" s="11" t="s">
        <v>329</v>
      </c>
      <c r="B8" s="13">
        <f>B7/B4</f>
        <v>0.94753102453102456</v>
      </c>
      <c r="D8" t="s">
        <v>330</v>
      </c>
    </row>
    <row r="9" spans="1:4" ht="15" customHeight="1" x14ac:dyDescent="0.2">
      <c r="A9" s="11" t="s">
        <v>331</v>
      </c>
      <c r="B9" s="12">
        <f>B7-B6</f>
        <v>1590717</v>
      </c>
      <c r="C9" t="str">
        <f>Parametres!B2</f>
        <v>MAD</v>
      </c>
      <c r="D9" t="s">
        <v>332</v>
      </c>
    </row>
    <row r="10" spans="1:4" ht="15" customHeight="1" x14ac:dyDescent="0.2">
      <c r="A10" s="11" t="s">
        <v>333</v>
      </c>
      <c r="B10" s="13">
        <f>B9/B4</f>
        <v>0.76513564213564211</v>
      </c>
      <c r="D10" t="s">
        <v>334</v>
      </c>
    </row>
    <row r="13" spans="1:4" ht="15" customHeight="1" x14ac:dyDescent="0.2">
      <c r="A13" s="11" t="s">
        <v>335</v>
      </c>
    </row>
    <row r="14" spans="1:4" ht="15" customHeight="1" x14ac:dyDescent="0.2">
      <c r="A14" t="s">
        <v>336</v>
      </c>
    </row>
    <row r="15" spans="1:4" ht="15" customHeight="1" x14ac:dyDescent="0.2">
      <c r="A15" t="s">
        <v>337</v>
      </c>
    </row>
    <row r="16" spans="1:4" ht="15" customHeight="1" x14ac:dyDescent="0.2">
      <c r="A16" t="s">
        <v>338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Parametres</vt:lpstr>
      <vt:lpstr>Ventes</vt:lpstr>
      <vt:lpstr>Depenses</vt:lpstr>
      <vt:lpstr>Cash_Flow</vt:lpstr>
      <vt:lpstr>Dashboard_Excel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Boubacar Nikiema</cp:lastModifiedBy>
  <cp:revision>0</cp:revision>
  <dcterms:created xsi:type="dcterms:W3CDTF">2026-02-05T13:40:31Z</dcterms:created>
  <dcterms:modified xsi:type="dcterms:W3CDTF">2026-02-08T00:31:24Z</dcterms:modified>
  <dc:language>en-US</dc:language>
</cp:coreProperties>
</file>